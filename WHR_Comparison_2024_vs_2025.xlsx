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 and PowerBi pract\DA Final CP\"/>
    </mc:Choice>
  </mc:AlternateContent>
  <xr:revisionPtr revIDLastSave="0" documentId="13_ncr:1_{99071B77-AEAC-4E62-9404-9F9469911A9C}" xr6:coauthVersionLast="47" xr6:coauthVersionMax="47" xr10:uidLastSave="{00000000-0000-0000-0000-000000000000}"/>
  <bookViews>
    <workbookView xWindow="-108" yWindow="-108" windowWidth="23256" windowHeight="12456" activeTab="1" xr2:uid="{33B90399-4645-4CE8-AC53-6ADF6E05C218}"/>
  </bookViews>
  <sheets>
    <sheet name="WHR_Comparison_2024_vs_2025" sheetId="1" r:id="rId1"/>
    <sheet name="Dashboard" sheetId="2" r:id="rId2"/>
  </sheets>
  <calcPr calcId="191029"/>
</workbook>
</file>

<file path=xl/calcChain.xml><?xml version="1.0" encoding="utf-8"?>
<calcChain xmlns="http://schemas.openxmlformats.org/spreadsheetml/2006/main">
  <c r="A87" i="2" l="1"/>
  <c r="B87" i="2"/>
  <c r="C87" i="2"/>
  <c r="D87" i="2"/>
  <c r="A88" i="2"/>
  <c r="B88" i="2"/>
  <c r="C88" i="2"/>
  <c r="D88" i="2"/>
  <c r="A89" i="2"/>
  <c r="B89" i="2"/>
  <c r="C89" i="2"/>
  <c r="D89" i="2"/>
  <c r="A90" i="2"/>
  <c r="B90" i="2"/>
  <c r="C90" i="2"/>
  <c r="D90" i="2"/>
  <c r="A91" i="2"/>
  <c r="B91" i="2"/>
  <c r="C91" i="2"/>
  <c r="D91" i="2"/>
  <c r="A92" i="2"/>
  <c r="B92" i="2"/>
  <c r="C92" i="2"/>
  <c r="D92" i="2"/>
  <c r="A93" i="2"/>
  <c r="B93" i="2"/>
  <c r="C93" i="2"/>
  <c r="D93" i="2"/>
  <c r="A94" i="2"/>
  <c r="B94" i="2"/>
  <c r="C94" i="2"/>
  <c r="D94" i="2"/>
  <c r="A95" i="2"/>
  <c r="B95" i="2"/>
  <c r="C95" i="2"/>
  <c r="D95" i="2"/>
  <c r="A96" i="2"/>
  <c r="B96" i="2"/>
  <c r="C96" i="2"/>
  <c r="D96" i="2"/>
  <c r="A97" i="2"/>
  <c r="B97" i="2"/>
  <c r="C97" i="2"/>
  <c r="D97" i="2"/>
  <c r="A98" i="2"/>
  <c r="B98" i="2"/>
  <c r="C98" i="2"/>
  <c r="D98" i="2"/>
  <c r="A99" i="2"/>
  <c r="B99" i="2"/>
  <c r="C99" i="2"/>
  <c r="D99" i="2"/>
  <c r="A100" i="2"/>
  <c r="B100" i="2"/>
  <c r="C100" i="2"/>
  <c r="D100" i="2"/>
  <c r="A101" i="2"/>
  <c r="B101" i="2"/>
  <c r="C101" i="2"/>
  <c r="D101" i="2"/>
  <c r="A102" i="2"/>
  <c r="B102" i="2"/>
  <c r="C102" i="2"/>
  <c r="D102" i="2"/>
  <c r="A103" i="2"/>
  <c r="B103" i="2"/>
  <c r="C103" i="2"/>
  <c r="D103" i="2"/>
  <c r="A104" i="2"/>
  <c r="B104" i="2"/>
  <c r="C104" i="2"/>
  <c r="D104" i="2"/>
  <c r="A105" i="2"/>
  <c r="B105" i="2"/>
  <c r="C105" i="2"/>
  <c r="D105" i="2"/>
  <c r="A106" i="2"/>
  <c r="B106" i="2"/>
  <c r="C106" i="2"/>
  <c r="D106" i="2"/>
  <c r="A107" i="2"/>
  <c r="B107" i="2"/>
  <c r="C107" i="2"/>
  <c r="D107" i="2"/>
  <c r="A108" i="2"/>
  <c r="B108" i="2"/>
  <c r="C108" i="2"/>
  <c r="D108" i="2"/>
  <c r="A109" i="2"/>
  <c r="B109" i="2"/>
  <c r="C109" i="2"/>
  <c r="D109" i="2"/>
  <c r="A110" i="2"/>
  <c r="B110" i="2"/>
  <c r="C110" i="2"/>
  <c r="D110" i="2"/>
  <c r="A111" i="2"/>
  <c r="B111" i="2"/>
  <c r="C111" i="2"/>
  <c r="D111" i="2"/>
  <c r="A112" i="2"/>
  <c r="B112" i="2"/>
  <c r="C112" i="2"/>
  <c r="D112" i="2"/>
  <c r="A113" i="2"/>
  <c r="B113" i="2"/>
  <c r="C113" i="2"/>
  <c r="D113" i="2"/>
  <c r="A114" i="2"/>
  <c r="B114" i="2"/>
  <c r="C114" i="2"/>
  <c r="D114" i="2"/>
  <c r="A115" i="2"/>
  <c r="B115" i="2"/>
  <c r="C115" i="2"/>
  <c r="D115" i="2"/>
  <c r="A116" i="2"/>
  <c r="B116" i="2"/>
  <c r="C116" i="2"/>
  <c r="D116" i="2"/>
  <c r="A117" i="2"/>
  <c r="B117" i="2"/>
  <c r="C117" i="2"/>
  <c r="D117" i="2"/>
  <c r="A118" i="2"/>
  <c r="B118" i="2"/>
  <c r="C118" i="2"/>
  <c r="D118" i="2"/>
  <c r="A119" i="2"/>
  <c r="B119" i="2"/>
  <c r="C119" i="2"/>
  <c r="D119" i="2"/>
  <c r="A120" i="2"/>
  <c r="B120" i="2"/>
  <c r="C120" i="2"/>
  <c r="D120" i="2"/>
  <c r="A121" i="2"/>
  <c r="B121" i="2"/>
  <c r="C121" i="2"/>
  <c r="D121" i="2"/>
  <c r="A122" i="2"/>
  <c r="B122" i="2"/>
  <c r="C122" i="2"/>
  <c r="D122" i="2"/>
  <c r="A123" i="2"/>
  <c r="B123" i="2"/>
  <c r="C123" i="2"/>
  <c r="D123" i="2"/>
  <c r="A124" i="2"/>
  <c r="B124" i="2"/>
  <c r="C124" i="2"/>
  <c r="D124" i="2"/>
  <c r="A125" i="2"/>
  <c r="B125" i="2"/>
  <c r="C125" i="2"/>
  <c r="D125" i="2"/>
  <c r="A126" i="2"/>
  <c r="B126" i="2"/>
  <c r="C126" i="2"/>
  <c r="D126" i="2"/>
  <c r="A127" i="2"/>
  <c r="B127" i="2"/>
  <c r="C127" i="2"/>
  <c r="D127" i="2"/>
  <c r="A128" i="2"/>
  <c r="B128" i="2"/>
  <c r="C128" i="2"/>
  <c r="D128" i="2"/>
  <c r="A129" i="2"/>
  <c r="B129" i="2"/>
  <c r="C129" i="2"/>
  <c r="D129" i="2"/>
  <c r="A130" i="2"/>
  <c r="B130" i="2"/>
  <c r="C130" i="2"/>
  <c r="D130" i="2"/>
  <c r="A131" i="2"/>
  <c r="B131" i="2"/>
  <c r="C131" i="2"/>
  <c r="D131" i="2"/>
  <c r="A132" i="2"/>
  <c r="B132" i="2"/>
  <c r="C132" i="2"/>
  <c r="D132" i="2"/>
  <c r="A133" i="2"/>
  <c r="B133" i="2"/>
  <c r="C133" i="2"/>
  <c r="D133" i="2"/>
  <c r="A134" i="2"/>
  <c r="B134" i="2"/>
  <c r="C134" i="2"/>
  <c r="D134" i="2"/>
  <c r="A135" i="2"/>
  <c r="B135" i="2"/>
  <c r="C135" i="2"/>
  <c r="D135" i="2"/>
  <c r="A136" i="2"/>
  <c r="B136" i="2"/>
  <c r="C136" i="2"/>
  <c r="D136" i="2"/>
  <c r="A137" i="2"/>
  <c r="B137" i="2"/>
  <c r="C137" i="2"/>
  <c r="D137" i="2"/>
  <c r="A138" i="2"/>
  <c r="B138" i="2"/>
  <c r="C138" i="2"/>
  <c r="D138" i="2"/>
  <c r="A139" i="2"/>
  <c r="B139" i="2"/>
  <c r="C139" i="2"/>
  <c r="D139" i="2"/>
  <c r="A140" i="2"/>
  <c r="B140" i="2"/>
  <c r="C140" i="2"/>
  <c r="D140" i="2"/>
  <c r="A141" i="2"/>
  <c r="B141" i="2"/>
  <c r="C141" i="2"/>
  <c r="D141" i="2"/>
  <c r="A142" i="2"/>
  <c r="B142" i="2"/>
  <c r="C142" i="2"/>
  <c r="D142" i="2"/>
  <c r="A143" i="2"/>
  <c r="B143" i="2"/>
  <c r="C143" i="2"/>
  <c r="D143" i="2"/>
  <c r="A144" i="2"/>
  <c r="B144" i="2"/>
  <c r="C144" i="2"/>
  <c r="D144" i="2"/>
  <c r="A145" i="2"/>
  <c r="B145" i="2"/>
  <c r="C145" i="2"/>
  <c r="D145" i="2"/>
  <c r="A146" i="2"/>
  <c r="B146" i="2"/>
  <c r="C146" i="2"/>
  <c r="D146" i="2"/>
  <c r="A147" i="2"/>
  <c r="B147" i="2"/>
  <c r="C147" i="2"/>
  <c r="D147" i="2"/>
  <c r="A148" i="2"/>
  <c r="B148" i="2"/>
  <c r="C148" i="2"/>
  <c r="D148" i="2"/>
  <c r="A149" i="2"/>
  <c r="B149" i="2"/>
  <c r="C149" i="2"/>
  <c r="D149" i="2"/>
  <c r="A150" i="2"/>
  <c r="B150" i="2"/>
  <c r="C150" i="2"/>
  <c r="D150" i="2"/>
  <c r="A151" i="2"/>
  <c r="B151" i="2"/>
  <c r="C151" i="2"/>
  <c r="D151" i="2"/>
  <c r="A152" i="2"/>
  <c r="B152" i="2"/>
  <c r="C152" i="2"/>
  <c r="D152" i="2"/>
  <c r="A153" i="2"/>
  <c r="B153" i="2"/>
  <c r="C153" i="2"/>
  <c r="D153" i="2"/>
  <c r="A154" i="2"/>
  <c r="B154" i="2"/>
  <c r="C154" i="2"/>
  <c r="D154" i="2"/>
  <c r="A155" i="2"/>
  <c r="B155" i="2"/>
  <c r="C155" i="2"/>
  <c r="D155" i="2"/>
  <c r="A156" i="2"/>
  <c r="B156" i="2"/>
  <c r="C156" i="2"/>
  <c r="D156" i="2"/>
  <c r="A157" i="2"/>
  <c r="B157" i="2"/>
  <c r="C157" i="2"/>
  <c r="D157" i="2"/>
  <c r="A158" i="2"/>
  <c r="B158" i="2"/>
  <c r="C158" i="2"/>
  <c r="D158" i="2"/>
  <c r="A159" i="2"/>
  <c r="B159" i="2"/>
  <c r="C159" i="2"/>
  <c r="D159" i="2"/>
  <c r="A160" i="2"/>
  <c r="B160" i="2"/>
  <c r="C160" i="2"/>
  <c r="D160" i="2"/>
  <c r="A161" i="2"/>
  <c r="B161" i="2"/>
  <c r="C161" i="2"/>
  <c r="D161" i="2"/>
  <c r="A162" i="2"/>
  <c r="B162" i="2"/>
  <c r="C162" i="2"/>
  <c r="D162" i="2"/>
  <c r="A163" i="2"/>
  <c r="B163" i="2"/>
  <c r="C163" i="2"/>
  <c r="D163" i="2"/>
  <c r="A164" i="2"/>
  <c r="B164" i="2"/>
  <c r="C164" i="2"/>
  <c r="D164" i="2"/>
  <c r="A165" i="2"/>
  <c r="B165" i="2"/>
  <c r="C165" i="2"/>
  <c r="D165" i="2"/>
  <c r="A166" i="2"/>
  <c r="B166" i="2"/>
  <c r="C166" i="2"/>
  <c r="D166" i="2"/>
  <c r="A167" i="2"/>
  <c r="B167" i="2"/>
  <c r="C167" i="2"/>
  <c r="D167" i="2"/>
  <c r="A168" i="2"/>
  <c r="B168" i="2"/>
  <c r="C168" i="2"/>
  <c r="D168" i="2"/>
  <c r="A169" i="2"/>
  <c r="B169" i="2"/>
  <c r="C169" i="2"/>
  <c r="D169" i="2"/>
  <c r="A170" i="2"/>
  <c r="B170" i="2"/>
  <c r="C170" i="2"/>
  <c r="D170" i="2"/>
  <c r="A171" i="2"/>
  <c r="B171" i="2"/>
  <c r="C171" i="2"/>
  <c r="D171" i="2"/>
  <c r="A172" i="2"/>
  <c r="B172" i="2"/>
  <c r="C172" i="2"/>
  <c r="D172" i="2"/>
  <c r="A173" i="2"/>
  <c r="B173" i="2"/>
  <c r="C173" i="2"/>
  <c r="D173" i="2"/>
  <c r="A174" i="2"/>
  <c r="B174" i="2"/>
  <c r="C174" i="2"/>
  <c r="D174" i="2"/>
  <c r="A175" i="2"/>
  <c r="B175" i="2"/>
  <c r="C175" i="2"/>
  <c r="D175" i="2"/>
  <c r="A176" i="2"/>
  <c r="B176" i="2"/>
  <c r="C176" i="2"/>
  <c r="D176" i="2"/>
  <c r="A177" i="2"/>
  <c r="B177" i="2"/>
  <c r="C177" i="2"/>
  <c r="D177" i="2"/>
  <c r="A178" i="2"/>
  <c r="B178" i="2"/>
  <c r="C178" i="2"/>
  <c r="D178" i="2"/>
  <c r="A179" i="2"/>
  <c r="B179" i="2"/>
  <c r="C179" i="2"/>
  <c r="D179" i="2"/>
  <c r="A180" i="2"/>
  <c r="B180" i="2"/>
  <c r="C180" i="2"/>
  <c r="D180" i="2"/>
  <c r="A181" i="2"/>
  <c r="B181" i="2"/>
  <c r="C181" i="2"/>
  <c r="D181" i="2"/>
  <c r="A182" i="2"/>
  <c r="B182" i="2"/>
  <c r="C182" i="2"/>
  <c r="D182" i="2"/>
  <c r="A183" i="2"/>
  <c r="B183" i="2"/>
  <c r="C183" i="2"/>
  <c r="D183" i="2"/>
  <c r="A184" i="2"/>
  <c r="B184" i="2"/>
  <c r="C184" i="2"/>
  <c r="D184" i="2"/>
  <c r="A185" i="2"/>
  <c r="B185" i="2"/>
  <c r="C185" i="2"/>
  <c r="D185" i="2"/>
  <c r="A186" i="2"/>
  <c r="B186" i="2"/>
  <c r="C186" i="2"/>
  <c r="D186" i="2"/>
  <c r="A187" i="2"/>
  <c r="B187" i="2"/>
  <c r="C187" i="2"/>
  <c r="D187" i="2"/>
  <c r="A188" i="2"/>
  <c r="B188" i="2"/>
  <c r="C188" i="2"/>
  <c r="D188" i="2"/>
  <c r="A189" i="2"/>
  <c r="B189" i="2"/>
  <c r="C189" i="2"/>
  <c r="D189" i="2"/>
  <c r="A190" i="2"/>
  <c r="B190" i="2"/>
  <c r="C190" i="2"/>
  <c r="D190" i="2"/>
  <c r="A191" i="2"/>
  <c r="B191" i="2"/>
  <c r="C191" i="2"/>
  <c r="D191" i="2"/>
  <c r="A192" i="2"/>
  <c r="B192" i="2"/>
  <c r="C192" i="2"/>
  <c r="D192" i="2"/>
  <c r="A193" i="2"/>
  <c r="B193" i="2"/>
  <c r="C193" i="2"/>
  <c r="D193" i="2"/>
  <c r="A194" i="2"/>
  <c r="B194" i="2"/>
  <c r="C194" i="2"/>
  <c r="D194" i="2"/>
  <c r="A195" i="2"/>
  <c r="B195" i="2"/>
  <c r="C195" i="2"/>
  <c r="D195" i="2"/>
  <c r="A196" i="2"/>
  <c r="B196" i="2"/>
  <c r="C196" i="2"/>
  <c r="D196" i="2"/>
  <c r="A197" i="2"/>
  <c r="B197" i="2"/>
  <c r="C197" i="2"/>
  <c r="D197" i="2"/>
  <c r="A198" i="2"/>
  <c r="B198" i="2"/>
  <c r="C198" i="2"/>
  <c r="D198" i="2"/>
  <c r="A199" i="2"/>
  <c r="B199" i="2"/>
  <c r="C199" i="2"/>
  <c r="D199" i="2"/>
  <c r="A200" i="2"/>
  <c r="B200" i="2"/>
  <c r="C200" i="2"/>
  <c r="D200" i="2"/>
  <c r="A201" i="2"/>
  <c r="B201" i="2"/>
  <c r="C201" i="2"/>
  <c r="D201" i="2"/>
  <c r="A202" i="2"/>
  <c r="B202" i="2"/>
  <c r="C202" i="2"/>
  <c r="D202" i="2"/>
  <c r="A203" i="2"/>
  <c r="B203" i="2"/>
  <c r="C203" i="2"/>
  <c r="D203" i="2"/>
  <c r="A204" i="2"/>
  <c r="B204" i="2"/>
  <c r="C204" i="2"/>
  <c r="D204" i="2"/>
  <c r="A205" i="2"/>
  <c r="B205" i="2"/>
  <c r="C205" i="2"/>
  <c r="D205" i="2"/>
  <c r="A206" i="2"/>
  <c r="B206" i="2"/>
  <c r="C206" i="2"/>
  <c r="D206" i="2"/>
  <c r="A207" i="2"/>
  <c r="B207" i="2"/>
  <c r="C207" i="2"/>
  <c r="D207" i="2"/>
  <c r="A208" i="2"/>
  <c r="B208" i="2"/>
  <c r="C208" i="2"/>
  <c r="D208" i="2"/>
  <c r="A209" i="2"/>
  <c r="B209" i="2"/>
  <c r="C209" i="2"/>
  <c r="D209" i="2"/>
  <c r="A210" i="2"/>
  <c r="B210" i="2"/>
  <c r="C210" i="2"/>
  <c r="D210" i="2"/>
  <c r="A211" i="2"/>
  <c r="B211" i="2"/>
  <c r="C211" i="2"/>
  <c r="D211" i="2"/>
  <c r="A212" i="2"/>
  <c r="B212" i="2"/>
  <c r="C212" i="2"/>
  <c r="D212" i="2"/>
  <c r="A213" i="2"/>
  <c r="B213" i="2"/>
  <c r="C213" i="2"/>
  <c r="D213" i="2"/>
  <c r="A214" i="2"/>
  <c r="B214" i="2"/>
  <c r="C214" i="2"/>
  <c r="D214" i="2"/>
  <c r="A215" i="2"/>
  <c r="B215" i="2"/>
  <c r="C215" i="2"/>
  <c r="D215" i="2"/>
  <c r="A216" i="2"/>
  <c r="B216" i="2"/>
  <c r="C216" i="2"/>
  <c r="D216" i="2"/>
  <c r="A217" i="2"/>
  <c r="B217" i="2"/>
  <c r="C217" i="2"/>
  <c r="D217" i="2"/>
  <c r="A218" i="2"/>
  <c r="B218" i="2"/>
  <c r="C218" i="2"/>
  <c r="D218" i="2"/>
  <c r="A219" i="2"/>
  <c r="B219" i="2"/>
  <c r="C219" i="2"/>
  <c r="D219" i="2"/>
  <c r="A220" i="2"/>
  <c r="B220" i="2"/>
  <c r="C220" i="2"/>
  <c r="D220" i="2"/>
  <c r="F87" i="2"/>
  <c r="E87" i="2" s="1"/>
  <c r="G87" i="2"/>
  <c r="H87" i="2"/>
  <c r="I87" i="2"/>
  <c r="J87" i="2"/>
  <c r="L87" i="2"/>
  <c r="M87" i="2"/>
  <c r="F88" i="2"/>
  <c r="E88" i="2" s="1"/>
  <c r="G88" i="2"/>
  <c r="H88" i="2"/>
  <c r="I88" i="2"/>
  <c r="J88" i="2"/>
  <c r="L88" i="2"/>
  <c r="M88" i="2"/>
  <c r="F89" i="2"/>
  <c r="E89" i="2" s="1"/>
  <c r="G89" i="2"/>
  <c r="H89" i="2"/>
  <c r="I89" i="2"/>
  <c r="J89" i="2"/>
  <c r="L89" i="2"/>
  <c r="M89" i="2"/>
  <c r="F90" i="2"/>
  <c r="E90" i="2" s="1"/>
  <c r="G90" i="2"/>
  <c r="H90" i="2"/>
  <c r="I90" i="2"/>
  <c r="J90" i="2"/>
  <c r="L90" i="2"/>
  <c r="M90" i="2"/>
  <c r="F91" i="2"/>
  <c r="E91" i="2" s="1"/>
  <c r="G91" i="2"/>
  <c r="H91" i="2"/>
  <c r="I91" i="2"/>
  <c r="J91" i="2"/>
  <c r="L91" i="2"/>
  <c r="M91" i="2"/>
  <c r="F92" i="2"/>
  <c r="E92" i="2" s="1"/>
  <c r="G92" i="2"/>
  <c r="H92" i="2"/>
  <c r="I92" i="2"/>
  <c r="J92" i="2"/>
  <c r="L92" i="2"/>
  <c r="M92" i="2"/>
  <c r="F93" i="2"/>
  <c r="E93" i="2" s="1"/>
  <c r="G93" i="2"/>
  <c r="H93" i="2"/>
  <c r="I93" i="2"/>
  <c r="J93" i="2"/>
  <c r="L93" i="2"/>
  <c r="M93" i="2"/>
  <c r="F94" i="2"/>
  <c r="E94" i="2" s="1"/>
  <c r="G94" i="2"/>
  <c r="H94" i="2"/>
  <c r="I94" i="2"/>
  <c r="J94" i="2"/>
  <c r="L94" i="2"/>
  <c r="M94" i="2"/>
  <c r="F95" i="2"/>
  <c r="E95" i="2" s="1"/>
  <c r="G95" i="2"/>
  <c r="H95" i="2"/>
  <c r="I95" i="2"/>
  <c r="J95" i="2"/>
  <c r="L95" i="2"/>
  <c r="M95" i="2"/>
  <c r="F96" i="2"/>
  <c r="E96" i="2" s="1"/>
  <c r="G96" i="2"/>
  <c r="H96" i="2"/>
  <c r="I96" i="2"/>
  <c r="J96" i="2"/>
  <c r="L96" i="2"/>
  <c r="M96" i="2"/>
  <c r="G97" i="2"/>
  <c r="H97" i="2"/>
  <c r="I97" i="2"/>
  <c r="J97" i="2"/>
  <c r="L97" i="2"/>
  <c r="M97" i="2"/>
  <c r="G98" i="2"/>
  <c r="H98" i="2"/>
  <c r="I98" i="2"/>
  <c r="J98" i="2"/>
  <c r="L98" i="2"/>
  <c r="M98" i="2"/>
  <c r="G99" i="2"/>
  <c r="H99" i="2"/>
  <c r="I99" i="2"/>
  <c r="J99" i="2"/>
  <c r="L99" i="2"/>
  <c r="M99" i="2"/>
  <c r="G100" i="2"/>
  <c r="H100" i="2"/>
  <c r="I100" i="2"/>
  <c r="J100" i="2"/>
  <c r="L100" i="2"/>
  <c r="M100" i="2"/>
  <c r="G101" i="2"/>
  <c r="H101" i="2"/>
  <c r="I101" i="2"/>
  <c r="J101" i="2"/>
  <c r="L101" i="2"/>
  <c r="M101" i="2"/>
  <c r="G102" i="2"/>
  <c r="H102" i="2"/>
  <c r="I102" i="2"/>
  <c r="J102" i="2"/>
  <c r="L102" i="2"/>
  <c r="M102" i="2"/>
  <c r="G103" i="2"/>
  <c r="H103" i="2"/>
  <c r="I103" i="2"/>
  <c r="J103" i="2"/>
  <c r="L103" i="2"/>
  <c r="M103" i="2"/>
  <c r="G104" i="2"/>
  <c r="H104" i="2"/>
  <c r="I104" i="2"/>
  <c r="J104" i="2"/>
  <c r="L104" i="2"/>
  <c r="M104" i="2"/>
  <c r="G105" i="2"/>
  <c r="H105" i="2"/>
  <c r="I105" i="2"/>
  <c r="J105" i="2"/>
  <c r="L105" i="2"/>
  <c r="M105" i="2"/>
  <c r="G106" i="2"/>
  <c r="H106" i="2"/>
  <c r="I106" i="2"/>
  <c r="J106" i="2"/>
  <c r="L106" i="2"/>
  <c r="M106" i="2"/>
  <c r="G107" i="2"/>
  <c r="H107" i="2"/>
  <c r="I107" i="2"/>
  <c r="J107" i="2"/>
  <c r="G108" i="2"/>
  <c r="H108" i="2"/>
  <c r="I108" i="2"/>
  <c r="J108" i="2"/>
  <c r="G109" i="2"/>
  <c r="H109" i="2"/>
  <c r="I109" i="2"/>
  <c r="J109" i="2"/>
  <c r="G110" i="2"/>
  <c r="H110" i="2"/>
  <c r="I110" i="2"/>
  <c r="J110" i="2"/>
  <c r="G111" i="2"/>
  <c r="H111" i="2"/>
  <c r="I111" i="2"/>
  <c r="J111" i="2"/>
  <c r="G112" i="2"/>
  <c r="H112" i="2"/>
  <c r="I112" i="2"/>
  <c r="J112" i="2"/>
  <c r="G113" i="2"/>
  <c r="H113" i="2"/>
  <c r="I113" i="2"/>
  <c r="J113" i="2"/>
  <c r="G114" i="2"/>
  <c r="H114" i="2"/>
  <c r="I114" i="2"/>
  <c r="J114" i="2"/>
  <c r="G115" i="2"/>
  <c r="H115" i="2"/>
  <c r="I115" i="2"/>
  <c r="J115" i="2"/>
  <c r="G116" i="2"/>
  <c r="H116" i="2"/>
  <c r="I116" i="2"/>
  <c r="J116" i="2"/>
  <c r="G117" i="2"/>
  <c r="H117" i="2"/>
  <c r="I117" i="2"/>
  <c r="J117" i="2"/>
  <c r="G118" i="2"/>
  <c r="H118" i="2"/>
  <c r="I118" i="2"/>
  <c r="J118" i="2"/>
  <c r="G119" i="2"/>
  <c r="H119" i="2"/>
  <c r="I119" i="2"/>
  <c r="J119" i="2"/>
  <c r="G120" i="2"/>
  <c r="H120" i="2"/>
  <c r="I120" i="2"/>
  <c r="J120" i="2"/>
  <c r="G121" i="2"/>
  <c r="H121" i="2"/>
  <c r="I121" i="2"/>
  <c r="J121" i="2"/>
  <c r="G122" i="2"/>
  <c r="H122" i="2"/>
  <c r="I122" i="2"/>
  <c r="J122" i="2"/>
  <c r="G123" i="2"/>
  <c r="H123" i="2"/>
  <c r="I123" i="2"/>
  <c r="J123" i="2"/>
  <c r="G124" i="2"/>
  <c r="H124" i="2"/>
  <c r="I124" i="2"/>
  <c r="J124" i="2"/>
  <c r="G125" i="2"/>
  <c r="H125" i="2"/>
  <c r="I125" i="2"/>
  <c r="J125" i="2"/>
  <c r="G126" i="2"/>
  <c r="H126" i="2"/>
  <c r="I126" i="2"/>
  <c r="J126" i="2"/>
  <c r="G127" i="2"/>
  <c r="H127" i="2"/>
  <c r="I127" i="2"/>
  <c r="J127" i="2"/>
  <c r="G128" i="2"/>
  <c r="H128" i="2"/>
  <c r="I128" i="2"/>
  <c r="J128" i="2"/>
  <c r="G129" i="2"/>
  <c r="H129" i="2"/>
  <c r="I129" i="2"/>
  <c r="J129" i="2"/>
  <c r="G130" i="2"/>
  <c r="H130" i="2"/>
  <c r="I130" i="2"/>
  <c r="J130" i="2"/>
  <c r="G131" i="2"/>
  <c r="H131" i="2"/>
  <c r="I131" i="2"/>
  <c r="J131" i="2"/>
  <c r="G132" i="2"/>
  <c r="H132" i="2"/>
  <c r="I132" i="2"/>
  <c r="J132" i="2"/>
  <c r="G133" i="2"/>
  <c r="H133" i="2"/>
  <c r="I133" i="2"/>
  <c r="J133" i="2"/>
  <c r="G134" i="2"/>
  <c r="H134" i="2"/>
  <c r="I134" i="2"/>
  <c r="J134" i="2"/>
  <c r="G135" i="2"/>
  <c r="H135" i="2"/>
  <c r="I135" i="2"/>
  <c r="J135" i="2"/>
  <c r="G136" i="2"/>
  <c r="H136" i="2"/>
  <c r="I136" i="2"/>
  <c r="J136" i="2"/>
  <c r="G137" i="2"/>
  <c r="H137" i="2"/>
  <c r="I137" i="2"/>
  <c r="J137" i="2"/>
  <c r="G138" i="2"/>
  <c r="H138" i="2"/>
  <c r="I138" i="2"/>
  <c r="J138" i="2"/>
  <c r="G139" i="2"/>
  <c r="H139" i="2"/>
  <c r="I139" i="2"/>
  <c r="J139" i="2"/>
  <c r="G140" i="2"/>
  <c r="H140" i="2"/>
  <c r="I140" i="2"/>
  <c r="J140" i="2"/>
  <c r="G141" i="2"/>
  <c r="H141" i="2"/>
  <c r="I141" i="2"/>
  <c r="J141" i="2"/>
  <c r="G142" i="2"/>
  <c r="H142" i="2"/>
  <c r="I142" i="2"/>
  <c r="J142" i="2"/>
  <c r="G143" i="2"/>
  <c r="H143" i="2"/>
  <c r="I143" i="2"/>
  <c r="J143" i="2"/>
  <c r="G144" i="2"/>
  <c r="H144" i="2"/>
  <c r="I144" i="2"/>
  <c r="J144" i="2"/>
  <c r="G145" i="2"/>
  <c r="H145" i="2"/>
  <c r="I145" i="2"/>
  <c r="J145" i="2"/>
  <c r="G146" i="2"/>
  <c r="H146" i="2"/>
  <c r="I146" i="2"/>
  <c r="J146" i="2"/>
  <c r="G147" i="2"/>
  <c r="H147" i="2"/>
  <c r="I147" i="2"/>
  <c r="J147" i="2"/>
  <c r="G148" i="2"/>
  <c r="H148" i="2"/>
  <c r="I148" i="2"/>
  <c r="J148" i="2"/>
  <c r="G149" i="2"/>
  <c r="H149" i="2"/>
  <c r="I149" i="2"/>
  <c r="J149" i="2"/>
  <c r="G150" i="2"/>
  <c r="H150" i="2"/>
  <c r="I150" i="2"/>
  <c r="J150" i="2"/>
  <c r="G151" i="2"/>
  <c r="H151" i="2"/>
  <c r="I151" i="2"/>
  <c r="J151" i="2"/>
  <c r="G152" i="2"/>
  <c r="H152" i="2"/>
  <c r="I152" i="2"/>
  <c r="J152" i="2"/>
  <c r="G153" i="2"/>
  <c r="H153" i="2"/>
  <c r="I153" i="2"/>
  <c r="J153" i="2"/>
  <c r="G154" i="2"/>
  <c r="H154" i="2"/>
  <c r="I154" i="2"/>
  <c r="J154" i="2"/>
  <c r="G155" i="2"/>
  <c r="H155" i="2"/>
  <c r="I155" i="2"/>
  <c r="J155" i="2"/>
  <c r="G156" i="2"/>
  <c r="H156" i="2"/>
  <c r="I156" i="2"/>
  <c r="J156" i="2"/>
  <c r="G157" i="2"/>
  <c r="H157" i="2"/>
  <c r="I157" i="2"/>
  <c r="J157" i="2"/>
  <c r="G158" i="2"/>
  <c r="H158" i="2"/>
  <c r="I158" i="2"/>
  <c r="J158" i="2"/>
  <c r="G159" i="2"/>
  <c r="H159" i="2"/>
  <c r="I159" i="2"/>
  <c r="J159" i="2"/>
  <c r="G160" i="2"/>
  <c r="H160" i="2"/>
  <c r="I160" i="2"/>
  <c r="J160" i="2"/>
  <c r="G161" i="2"/>
  <c r="H161" i="2"/>
  <c r="I161" i="2"/>
  <c r="J161" i="2"/>
  <c r="G162" i="2"/>
  <c r="H162" i="2"/>
  <c r="I162" i="2"/>
  <c r="J162" i="2"/>
  <c r="G163" i="2"/>
  <c r="H163" i="2"/>
  <c r="I163" i="2"/>
  <c r="J163" i="2"/>
  <c r="G164" i="2"/>
  <c r="H164" i="2"/>
  <c r="I164" i="2"/>
  <c r="J164" i="2"/>
  <c r="G165" i="2"/>
  <c r="H165" i="2"/>
  <c r="I165" i="2"/>
  <c r="J165" i="2"/>
  <c r="G166" i="2"/>
  <c r="H166" i="2"/>
  <c r="I166" i="2"/>
  <c r="J166" i="2"/>
  <c r="G167" i="2"/>
  <c r="H167" i="2"/>
  <c r="I167" i="2"/>
  <c r="J167" i="2"/>
  <c r="G168" i="2"/>
  <c r="H168" i="2"/>
  <c r="I168" i="2"/>
  <c r="J168" i="2"/>
  <c r="G169" i="2"/>
  <c r="H169" i="2"/>
  <c r="I169" i="2"/>
  <c r="J169" i="2"/>
  <c r="G170" i="2"/>
  <c r="H170" i="2"/>
  <c r="I170" i="2"/>
  <c r="J170" i="2"/>
  <c r="G171" i="2"/>
  <c r="H171" i="2"/>
  <c r="I171" i="2"/>
  <c r="J171" i="2"/>
  <c r="G172" i="2"/>
  <c r="H172" i="2"/>
  <c r="I172" i="2"/>
  <c r="J172" i="2"/>
  <c r="G173" i="2"/>
  <c r="H173" i="2"/>
  <c r="I173" i="2"/>
  <c r="J173" i="2"/>
  <c r="G174" i="2"/>
  <c r="H174" i="2"/>
  <c r="I174" i="2"/>
  <c r="J174" i="2"/>
  <c r="G175" i="2"/>
  <c r="H175" i="2"/>
  <c r="I175" i="2"/>
  <c r="J175" i="2"/>
  <c r="G176" i="2"/>
  <c r="H176" i="2"/>
  <c r="I176" i="2"/>
  <c r="J176" i="2"/>
  <c r="G177" i="2"/>
  <c r="H177" i="2"/>
  <c r="I177" i="2"/>
  <c r="J177" i="2"/>
  <c r="G178" i="2"/>
  <c r="H178" i="2"/>
  <c r="I178" i="2"/>
  <c r="J178" i="2"/>
  <c r="G179" i="2"/>
  <c r="H179" i="2"/>
  <c r="I179" i="2"/>
  <c r="J179" i="2"/>
  <c r="G180" i="2"/>
  <c r="H180" i="2"/>
  <c r="I180" i="2"/>
  <c r="J180" i="2"/>
  <c r="G181" i="2"/>
  <c r="H181" i="2"/>
  <c r="I181" i="2"/>
  <c r="J181" i="2"/>
  <c r="G182" i="2"/>
  <c r="H182" i="2"/>
  <c r="I182" i="2"/>
  <c r="J182" i="2"/>
  <c r="G183" i="2"/>
  <c r="H183" i="2"/>
  <c r="I183" i="2"/>
  <c r="J183" i="2"/>
  <c r="G184" i="2"/>
  <c r="H184" i="2"/>
  <c r="I184" i="2"/>
  <c r="J184" i="2"/>
  <c r="G185" i="2"/>
  <c r="H185" i="2"/>
  <c r="I185" i="2"/>
  <c r="J185" i="2"/>
  <c r="G186" i="2"/>
  <c r="H186" i="2"/>
  <c r="I186" i="2"/>
  <c r="J186" i="2"/>
  <c r="G187" i="2"/>
  <c r="H187" i="2"/>
  <c r="I187" i="2"/>
  <c r="J187" i="2"/>
  <c r="G188" i="2"/>
  <c r="H188" i="2"/>
  <c r="I188" i="2"/>
  <c r="J188" i="2"/>
  <c r="G189" i="2"/>
  <c r="H189" i="2"/>
  <c r="I189" i="2"/>
  <c r="J189" i="2"/>
  <c r="G190" i="2"/>
  <c r="H190" i="2"/>
  <c r="I190" i="2"/>
  <c r="J190" i="2"/>
  <c r="G191" i="2"/>
  <c r="H191" i="2"/>
  <c r="I191" i="2"/>
  <c r="J191" i="2"/>
  <c r="G192" i="2"/>
  <c r="H192" i="2"/>
  <c r="I192" i="2"/>
  <c r="J192" i="2"/>
  <c r="G193" i="2"/>
  <c r="H193" i="2"/>
  <c r="I193" i="2"/>
  <c r="J193" i="2"/>
  <c r="G194" i="2"/>
  <c r="H194" i="2"/>
  <c r="I194" i="2"/>
  <c r="J194" i="2"/>
  <c r="G195" i="2"/>
  <c r="H195" i="2"/>
  <c r="I195" i="2"/>
  <c r="J195" i="2"/>
  <c r="G196" i="2"/>
  <c r="H196" i="2"/>
  <c r="I196" i="2"/>
  <c r="J196" i="2"/>
  <c r="G197" i="2"/>
  <c r="H197" i="2"/>
  <c r="I197" i="2"/>
  <c r="J197" i="2"/>
  <c r="G198" i="2"/>
  <c r="H198" i="2"/>
  <c r="I198" i="2"/>
  <c r="J198" i="2"/>
  <c r="G199" i="2"/>
  <c r="H199" i="2"/>
  <c r="I199" i="2"/>
  <c r="J199" i="2"/>
  <c r="G200" i="2"/>
  <c r="H200" i="2"/>
  <c r="I200" i="2"/>
  <c r="J200" i="2"/>
  <c r="G201" i="2"/>
  <c r="H201" i="2"/>
  <c r="I201" i="2"/>
  <c r="J201" i="2"/>
  <c r="G202" i="2"/>
  <c r="H202" i="2"/>
  <c r="I202" i="2"/>
  <c r="J202" i="2"/>
  <c r="G203" i="2"/>
  <c r="H203" i="2"/>
  <c r="I203" i="2"/>
  <c r="J203" i="2"/>
  <c r="G204" i="2"/>
  <c r="H204" i="2"/>
  <c r="I204" i="2"/>
  <c r="J204" i="2"/>
  <c r="G205" i="2"/>
  <c r="H205" i="2"/>
  <c r="I205" i="2"/>
  <c r="J205" i="2"/>
  <c r="G206" i="2"/>
  <c r="H206" i="2"/>
  <c r="I206" i="2"/>
  <c r="J206" i="2"/>
  <c r="G207" i="2"/>
  <c r="H207" i="2"/>
  <c r="I207" i="2"/>
  <c r="J207" i="2"/>
  <c r="G208" i="2"/>
  <c r="H208" i="2"/>
  <c r="I208" i="2"/>
  <c r="J208" i="2"/>
  <c r="G209" i="2"/>
  <c r="H209" i="2"/>
  <c r="I209" i="2"/>
  <c r="J209" i="2"/>
  <c r="G210" i="2"/>
  <c r="H210" i="2"/>
  <c r="I210" i="2"/>
  <c r="J210" i="2"/>
  <c r="G211" i="2"/>
  <c r="H211" i="2"/>
  <c r="I211" i="2"/>
  <c r="J211" i="2"/>
  <c r="G212" i="2"/>
  <c r="H212" i="2"/>
  <c r="I212" i="2"/>
  <c r="J212" i="2"/>
  <c r="G213" i="2"/>
  <c r="H213" i="2"/>
  <c r="I213" i="2"/>
  <c r="J213" i="2"/>
  <c r="G214" i="2"/>
  <c r="H214" i="2"/>
  <c r="I214" i="2"/>
  <c r="J214" i="2"/>
  <c r="G215" i="2"/>
  <c r="H215" i="2"/>
  <c r="I215" i="2"/>
  <c r="J215" i="2"/>
  <c r="G216" i="2"/>
  <c r="H216" i="2"/>
  <c r="I216" i="2"/>
  <c r="J216" i="2"/>
  <c r="G217" i="2"/>
  <c r="H217" i="2"/>
  <c r="I217" i="2"/>
  <c r="J217" i="2"/>
  <c r="G218" i="2"/>
  <c r="H218" i="2"/>
  <c r="I218" i="2"/>
  <c r="J218" i="2"/>
  <c r="G219" i="2"/>
  <c r="H219" i="2"/>
  <c r="I219" i="2"/>
  <c r="J219" i="2"/>
  <c r="G220" i="2"/>
  <c r="H220" i="2"/>
  <c r="I220" i="2"/>
  <c r="J220" i="2"/>
  <c r="J7" i="2"/>
  <c r="G7" i="2"/>
  <c r="D7" i="2"/>
  <c r="A7" i="2"/>
  <c r="AD246" i="2"/>
</calcChain>
</file>

<file path=xl/sharedStrings.xml><?xml version="1.0" encoding="utf-8"?>
<sst xmlns="http://schemas.openxmlformats.org/spreadsheetml/2006/main" count="305" uniqueCount="184">
  <si>
    <t>Country</t>
  </si>
  <si>
    <t>Happiness Score_2024</t>
  </si>
  <si>
    <t>GDP_2024</t>
  </si>
  <si>
    <t>Social Support_2024</t>
  </si>
  <si>
    <t>Health_2024</t>
  </si>
  <si>
    <t>Freedom_2024</t>
  </si>
  <si>
    <t>Corruption_2024</t>
  </si>
  <si>
    <t>Year_2024</t>
  </si>
  <si>
    <t>Happiness Score_2025</t>
  </si>
  <si>
    <t>GDP_2025</t>
  </si>
  <si>
    <t>Social Support_2025</t>
  </si>
  <si>
    <t>Health_2025</t>
  </si>
  <si>
    <t>Freedom_2025</t>
  </si>
  <si>
    <t>Corruption_2025</t>
  </si>
  <si>
    <t>Year_2025</t>
  </si>
  <si>
    <t>Score_Change</t>
  </si>
  <si>
    <t>Finland</t>
  </si>
  <si>
    <t>Denmark</t>
  </si>
  <si>
    <t>Iceland</t>
  </si>
  <si>
    <t>Norway</t>
  </si>
  <si>
    <t>Netherlands</t>
  </si>
  <si>
    <t>Sweden</t>
  </si>
  <si>
    <t>Switzerland</t>
  </si>
  <si>
    <t>Luxembourg</t>
  </si>
  <si>
    <t>New Zealand</t>
  </si>
  <si>
    <t>Austria</t>
  </si>
  <si>
    <t>Australia</t>
  </si>
  <si>
    <t>Canada</t>
  </si>
  <si>
    <t>Ireland</t>
  </si>
  <si>
    <t>United States</t>
  </si>
  <si>
    <t>Germany</t>
  </si>
  <si>
    <t>Belgium</t>
  </si>
  <si>
    <t>Czechia</t>
  </si>
  <si>
    <t>United Kingdom</t>
  </si>
  <si>
    <t>Lithuania</t>
  </si>
  <si>
    <t>France</t>
  </si>
  <si>
    <t>Slovenia</t>
  </si>
  <si>
    <t>Costa Rica</t>
  </si>
  <si>
    <t>Romania</t>
  </si>
  <si>
    <t>Singapore</t>
  </si>
  <si>
    <t>United Arab Emirates</t>
  </si>
  <si>
    <t>Taiwan Province of China</t>
  </si>
  <si>
    <t>Uruguay</t>
  </si>
  <si>
    <t>Slovakia</t>
  </si>
  <si>
    <t>Saudi Arabia</t>
  </si>
  <si>
    <t>Estonia</t>
  </si>
  <si>
    <t>Spain</t>
  </si>
  <si>
    <t>Italy</t>
  </si>
  <si>
    <t>Chile</t>
  </si>
  <si>
    <t>Mexico</t>
  </si>
  <si>
    <t>Malta</t>
  </si>
  <si>
    <t>Panama</t>
  </si>
  <si>
    <t>Poland</t>
  </si>
  <si>
    <t>Latvia</t>
  </si>
  <si>
    <t>Bahrain</t>
  </si>
  <si>
    <t>Guatemala</t>
  </si>
  <si>
    <t>Kazakhstan</t>
  </si>
  <si>
    <t>Serbia</t>
  </si>
  <si>
    <t>Cyprus</t>
  </si>
  <si>
    <t>Japan</t>
  </si>
  <si>
    <t>Croatia</t>
  </si>
  <si>
    <t>Brazil</t>
  </si>
  <si>
    <t>El Salvador</t>
  </si>
  <si>
    <t>Hungary</t>
  </si>
  <si>
    <t>Argentina</t>
  </si>
  <si>
    <t>Honduras</t>
  </si>
  <si>
    <t>Uzbekistan</t>
  </si>
  <si>
    <t>Malaysia</t>
  </si>
  <si>
    <t>Portugal</t>
  </si>
  <si>
    <t>South Korea</t>
  </si>
  <si>
    <t>Greece</t>
  </si>
  <si>
    <t>Mauritius</t>
  </si>
  <si>
    <t>Thailand</t>
  </si>
  <si>
    <t>Mongolia</t>
  </si>
  <si>
    <t>Kyrgyzstan</t>
  </si>
  <si>
    <t>Moldova</t>
  </si>
  <si>
    <t>China</t>
  </si>
  <si>
    <t>Vietnam</t>
  </si>
  <si>
    <t>Paraguay</t>
  </si>
  <si>
    <t>Montenegro</t>
  </si>
  <si>
    <t>Jamaica</t>
  </si>
  <si>
    <t>Bolivia</t>
  </si>
  <si>
    <t>Russia</t>
  </si>
  <si>
    <t>Bosnia and Herzegovina</t>
  </si>
  <si>
    <t>Colombia</t>
  </si>
  <si>
    <t>Dominican Republic</t>
  </si>
  <si>
    <t>Ecuador</t>
  </si>
  <si>
    <t>Peru</t>
  </si>
  <si>
    <t>Philippines</t>
  </si>
  <si>
    <t>Bulgaria</t>
  </si>
  <si>
    <t>Nepal</t>
  </si>
  <si>
    <t>Armenia</t>
  </si>
  <si>
    <t>Tajikistan</t>
  </si>
  <si>
    <t>Algeria</t>
  </si>
  <si>
    <t>Hong Kong</t>
  </si>
  <si>
    <t>Albania</t>
  </si>
  <si>
    <t>Indonesia</t>
  </si>
  <si>
    <t>South Africa</t>
  </si>
  <si>
    <t>Congo (Brazzaville)</t>
  </si>
  <si>
    <t>North Macedonia</t>
  </si>
  <si>
    <t>Venezuela</t>
  </si>
  <si>
    <t>Laos</t>
  </si>
  <si>
    <t>Georgia</t>
  </si>
  <si>
    <t>Guinea</t>
  </si>
  <si>
    <t>Ukraine</t>
  </si>
  <si>
    <t>Ivory Coast</t>
  </si>
  <si>
    <t>Gabon</t>
  </si>
  <si>
    <t>Nigeria</t>
  </si>
  <si>
    <t>Cameroon</t>
  </si>
  <si>
    <t>Mozambique</t>
  </si>
  <si>
    <t>Iraq</t>
  </si>
  <si>
    <t>Palestine</t>
  </si>
  <si>
    <t>Morocco</t>
  </si>
  <si>
    <t>Iran</t>
  </si>
  <si>
    <t>Senegal</t>
  </si>
  <si>
    <t>Mauritania</t>
  </si>
  <si>
    <t>Burkina Faso</t>
  </si>
  <si>
    <t>Namibia</t>
  </si>
  <si>
    <t>Turkiye</t>
  </si>
  <si>
    <t>Ghana</t>
  </si>
  <si>
    <t>Pakistan</t>
  </si>
  <si>
    <t>Niger</t>
  </si>
  <si>
    <t>Tunisia</t>
  </si>
  <si>
    <t>Kenya</t>
  </si>
  <si>
    <t>Sri Lanka</t>
  </si>
  <si>
    <t>Uganda</t>
  </si>
  <si>
    <t>Chad</t>
  </si>
  <si>
    <t>Cambodia</t>
  </si>
  <si>
    <t>Benin</t>
  </si>
  <si>
    <t>Myanmar</t>
  </si>
  <si>
    <t>Bangladesh</t>
  </si>
  <si>
    <t>Gambia</t>
  </si>
  <si>
    <t>Mali</t>
  </si>
  <si>
    <t>Egypt</t>
  </si>
  <si>
    <t>Togo</t>
  </si>
  <si>
    <t>Jordan</t>
  </si>
  <si>
    <t>Ethiopia</t>
  </si>
  <si>
    <t>Liberia</t>
  </si>
  <si>
    <t>India</t>
  </si>
  <si>
    <t>Madagascar</t>
  </si>
  <si>
    <t>Zambia</t>
  </si>
  <si>
    <t>Tanzania</t>
  </si>
  <si>
    <t>Comoros</t>
  </si>
  <si>
    <t>Malawi</t>
  </si>
  <si>
    <t>Botswana</t>
  </si>
  <si>
    <t>Congo (Kinshasa)</t>
  </si>
  <si>
    <t>Zimbabwe</t>
  </si>
  <si>
    <t>Sierra Leone</t>
  </si>
  <si>
    <t>Lebanon</t>
  </si>
  <si>
    <t>Afghanistan</t>
  </si>
  <si>
    <t>World Happiness Report Dashboard | 2024 vs 2025</t>
  </si>
  <si>
    <t>Interactive dashboard built from WHR_Comparison_2024_vs_2025; raw data untouched.</t>
  </si>
  <si>
    <t>Country Filter</t>
  </si>
  <si>
    <t>All</t>
  </si>
  <si>
    <t>Year Filter</t>
  </si>
  <si>
    <t>Tip</t>
  </si>
  <si>
    <t>Mode</t>
  </si>
  <si>
    <t>2024 / 2025 / All</t>
  </si>
  <si>
    <t>Country Options</t>
  </si>
  <si>
    <t>Average Happiness Score 2024</t>
  </si>
  <si>
    <t>Filtered by selected country</t>
  </si>
  <si>
    <t>Average Happiness Score 2025</t>
  </si>
  <si>
    <t>Highest Happiness Score Country</t>
  </si>
  <si>
    <t>Based on selected year</t>
  </si>
  <si>
    <t>Largest Score Change</t>
  </si>
  <si>
    <t>Largest absolute 2024→2025 movement</t>
  </si>
  <si>
    <t>Use dropdowns/values to focus charts and KPIs</t>
  </si>
  <si>
    <t>Score 2024</t>
  </si>
  <si>
    <t>Score 2025</t>
  </si>
  <si>
    <t>Score Change</t>
  </si>
  <si>
    <t>Happiness Score</t>
  </si>
  <si>
    <t>GDP</t>
  </si>
  <si>
    <t>Freedom</t>
  </si>
  <si>
    <t>Largest Score Changes</t>
  </si>
  <si>
    <t>Change</t>
  </si>
  <si>
    <t>Chart helper data (supports dashboard interactivity)</t>
  </si>
  <si>
    <t>Summary of Comparison of Both Years (2024 vs 2025)</t>
  </si>
  <si>
    <t>Score 20242</t>
  </si>
  <si>
    <t>Country2</t>
  </si>
  <si>
    <t>Happiness Score2</t>
  </si>
  <si>
    <t>Happiness Score3</t>
  </si>
  <si>
    <t>Countries With Score Change</t>
  </si>
  <si>
    <t xml:space="preserve">Chart Helper Data </t>
  </si>
  <si>
    <t>WHR_Comparison_2024 vs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</si>
</sst>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\+0.00;\-0.00;0.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rgb="FFFFFFFF"/>
      <name val="Aptos"/>
    </font>
    <font>
      <sz val="10"/>
      <color rgb="FF1F1F1F"/>
      <name val="Aptos"/>
    </font>
    <font>
      <sz val="11"/>
      <color rgb="FF1F1F1F"/>
      <name val="Aptos"/>
    </font>
    <font>
      <sz val="10"/>
      <color rgb="FF9C0006"/>
      <name val="Aptos"/>
    </font>
    <font>
      <sz val="10"/>
      <color rgb="FF006100"/>
      <name val="Aptos"/>
    </font>
    <font>
      <b/>
      <sz val="10"/>
      <color rgb="FFFFFFFF"/>
      <name val="Aptos"/>
    </font>
    <font>
      <b/>
      <sz val="14"/>
      <color rgb="FF1F1F1F"/>
      <name val="Aptos"/>
    </font>
    <font>
      <i/>
      <sz val="9"/>
      <color rgb="FF66666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1F4E78"/>
      </top>
      <bottom/>
      <diagonal/>
    </border>
    <border>
      <left/>
      <right/>
      <top/>
      <bottom style="thin">
        <color rgb="FFD9E1F2"/>
      </bottom>
      <diagonal/>
    </border>
    <border>
      <left style="thin">
        <color rgb="FFD9E1F2"/>
      </left>
      <right/>
      <top style="thick">
        <color rgb="FF1F4E78"/>
      </top>
      <bottom/>
      <diagonal/>
    </border>
    <border>
      <left style="thin">
        <color rgb="FFD9E1F2"/>
      </left>
      <right/>
      <top/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/>
      <right style="thin">
        <color rgb="FFD9E1F2"/>
      </right>
      <top style="thick">
        <color rgb="FF1F4E78"/>
      </top>
      <bottom/>
      <diagonal/>
    </border>
    <border>
      <left/>
      <right style="thin">
        <color rgb="FFD9E1F2"/>
      </right>
      <top/>
      <bottom/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0">
    <xf numFmtId="0" fontId="0" fillId="0" borderId="0" xfId="0"/>
    <xf numFmtId="0" fontId="18" fillId="33" borderId="10" xfId="0" applyFont="1" applyFill="1" applyBorder="1" applyAlignment="1">
      <alignment horizontal="center"/>
    </xf>
    <xf numFmtId="0" fontId="0" fillId="0" borderId="10" xfId="0" applyBorder="1"/>
    <xf numFmtId="0" fontId="20" fillId="35" borderId="11" xfId="0" applyFont="1" applyFill="1" applyBorder="1" applyAlignment="1">
      <alignment horizontal="left"/>
    </xf>
    <xf numFmtId="0" fontId="20" fillId="35" borderId="0" xfId="0" applyFont="1" applyFill="1" applyAlignment="1">
      <alignment horizontal="left"/>
    </xf>
    <xf numFmtId="0" fontId="20" fillId="35" borderId="12" xfId="0" applyFont="1" applyFill="1" applyBorder="1" applyAlignment="1">
      <alignment horizontal="left"/>
    </xf>
    <xf numFmtId="0" fontId="19" fillId="34" borderId="0" xfId="0" applyFont="1" applyFill="1" applyAlignment="1">
      <alignment horizontal="left"/>
    </xf>
    <xf numFmtId="0" fontId="21" fillId="36" borderId="0" xfId="0" applyFont="1" applyFill="1" applyAlignment="1">
      <alignment horizontal="left"/>
    </xf>
    <xf numFmtId="0" fontId="21" fillId="36" borderId="11" xfId="0" applyFont="1" applyFill="1" applyBorder="1" applyAlignment="1">
      <alignment horizontal="left"/>
    </xf>
    <xf numFmtId="0" fontId="21" fillId="36" borderId="12" xfId="0" applyFont="1" applyFill="1" applyBorder="1" applyAlignment="1">
      <alignment horizontal="left"/>
    </xf>
    <xf numFmtId="0" fontId="21" fillId="36" borderId="13" xfId="0" applyFont="1" applyFill="1" applyBorder="1" applyAlignment="1">
      <alignment horizontal="left"/>
    </xf>
    <xf numFmtId="0" fontId="21" fillId="36" borderId="15" xfId="0" applyFont="1" applyFill="1" applyBorder="1" applyAlignment="1">
      <alignment horizontal="left"/>
    </xf>
    <xf numFmtId="0" fontId="21" fillId="36" borderId="16" xfId="0" applyFont="1" applyFill="1" applyBorder="1" applyAlignment="1">
      <alignment horizontal="left"/>
    </xf>
    <xf numFmtId="0" fontId="21" fillId="36" borderId="17" xfId="0" applyFont="1" applyFill="1" applyBorder="1" applyAlignment="1">
      <alignment horizontal="left"/>
    </xf>
    <xf numFmtId="0" fontId="21" fillId="36" borderId="18" xfId="0" applyFont="1" applyFill="1" applyBorder="1" applyAlignment="1">
      <alignment horizontal="left"/>
    </xf>
    <xf numFmtId="2" fontId="25" fillId="36" borderId="14" xfId="0" applyNumberFormat="1" applyFont="1" applyFill="1" applyBorder="1" applyAlignment="1">
      <alignment horizontal="left"/>
    </xf>
    <xf numFmtId="2" fontId="25" fillId="36" borderId="0" xfId="0" applyNumberFormat="1" applyFont="1" applyFill="1" applyAlignment="1">
      <alignment horizontal="left"/>
    </xf>
    <xf numFmtId="0" fontId="26" fillId="0" borderId="0" xfId="0" applyFont="1"/>
    <xf numFmtId="0" fontId="20" fillId="36" borderId="10" xfId="0" applyFont="1" applyFill="1" applyBorder="1" applyAlignment="1">
      <alignment horizontal="left"/>
    </xf>
    <xf numFmtId="0" fontId="20" fillId="36" borderId="19" xfId="0" applyFont="1" applyFill="1" applyBorder="1" applyAlignment="1">
      <alignment horizontal="left"/>
    </xf>
    <xf numFmtId="164" fontId="22" fillId="37" borderId="20" xfId="0" applyNumberFormat="1" applyFont="1" applyFill="1" applyBorder="1" applyAlignment="1">
      <alignment horizontal="left"/>
    </xf>
    <xf numFmtId="164" fontId="23" fillId="38" borderId="20" xfId="0" applyNumberFormat="1" applyFont="1" applyFill="1" applyBorder="1" applyAlignment="1">
      <alignment horizontal="left"/>
    </xf>
    <xf numFmtId="0" fontId="24" fillId="34" borderId="21" xfId="0" applyFont="1" applyFill="1" applyBorder="1" applyAlignment="1">
      <alignment horizontal="center"/>
    </xf>
    <xf numFmtId="0" fontId="24" fillId="34" borderId="22" xfId="0" applyFont="1" applyFill="1" applyBorder="1" applyAlignment="1">
      <alignment horizontal="center"/>
    </xf>
    <xf numFmtId="0" fontId="24" fillId="34" borderId="23" xfId="0" applyFont="1" applyFill="1" applyBorder="1" applyAlignment="1">
      <alignment horizontal="center"/>
    </xf>
    <xf numFmtId="0" fontId="20" fillId="36" borderId="24" xfId="0" applyFont="1" applyFill="1" applyBorder="1" applyAlignment="1">
      <alignment horizontal="left"/>
    </xf>
    <xf numFmtId="0" fontId="20" fillId="36" borderId="25" xfId="0" applyFont="1" applyFill="1" applyBorder="1" applyAlignment="1">
      <alignment horizontal="left"/>
    </xf>
    <xf numFmtId="164" fontId="22" fillId="37" borderId="26" xfId="0" applyNumberFormat="1" applyFont="1" applyFill="1" applyBorder="1" applyAlignment="1">
      <alignment horizontal="left"/>
    </xf>
    <xf numFmtId="0" fontId="0" fillId="0" borderId="26" xfId="0" applyBorder="1"/>
    <xf numFmtId="0" fontId="0" fillId="0" borderId="24" xfId="0" applyBorder="1"/>
    <xf numFmtId="0" fontId="0" fillId="0" borderId="23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25" xfId="0" applyBorder="1"/>
    <xf numFmtId="0" fontId="27" fillId="41" borderId="27" xfId="0" applyFont="1" applyFill="1" applyBorder="1" applyAlignment="1">
      <alignment horizontal="center"/>
    </xf>
    <xf numFmtId="0" fontId="27" fillId="39" borderId="0" xfId="0" applyFont="1" applyFill="1" applyAlignment="1">
      <alignment horizontal="center"/>
    </xf>
    <xf numFmtId="0" fontId="27" fillId="40" borderId="0" xfId="0" applyFont="1" applyFill="1" applyAlignment="1">
      <alignment horizontal="center"/>
    </xf>
    <xf numFmtId="0" fontId="29" fillId="39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6100"/>
        <name val="Aptos"/>
        <scheme val="none"/>
      </font>
      <numFmt numFmtId="164" formatCode="\+0.00;\-0.00;0.00"/>
      <fill>
        <patternFill patternType="solid">
          <fgColor indexed="64"/>
          <bgColor rgb="FFE2F0D9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ptos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ptos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ptos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ptos"/>
        <scheme val="none"/>
      </font>
      <numFmt numFmtId="0" formatCode="General"/>
      <fill>
        <patternFill patternType="solid">
          <fgColor indexed="64"/>
          <bgColor rgb="FF1F4E7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85905CC9-5E84-4D49-B309-B0C4CAACCC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Happiest Countries 2024 vs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Dashboard!$F$86</c:f>
              <c:strCache>
                <c:ptCount val="1"/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Dashboard!$E$87:$E$96</c:f>
              <c:strCache>
                <c:ptCount val="10"/>
                <c:pt idx="0">
                  <c:v>Finland</c:v>
                </c:pt>
                <c:pt idx="1">
                  <c:v>Denmark</c:v>
                </c:pt>
                <c:pt idx="2">
                  <c:v>Iceland</c:v>
                </c:pt>
                <c:pt idx="3">
                  <c:v>Sweden</c:v>
                </c:pt>
                <c:pt idx="4">
                  <c:v>Norway</c:v>
                </c:pt>
                <c:pt idx="5">
                  <c:v>Netherlands</c:v>
                </c:pt>
                <c:pt idx="6">
                  <c:v>Luxembourg</c:v>
                </c:pt>
                <c:pt idx="7">
                  <c:v>Switzerland</c:v>
                </c:pt>
                <c:pt idx="8">
                  <c:v>Australia</c:v>
                </c:pt>
                <c:pt idx="9">
                  <c:v>New Zealand</c:v>
                </c:pt>
              </c:strCache>
            </c:strRef>
          </c:cat>
          <c:val>
            <c:numRef>
              <c:f>Dashboard!$F$87:$F$96</c:f>
              <c:numCache>
                <c:formatCode>General</c:formatCode>
                <c:ptCount val="10"/>
                <c:pt idx="0">
                  <c:v>7.7406997680664</c:v>
                </c:pt>
                <c:pt idx="1">
                  <c:v>7.5826997756957999</c:v>
                </c:pt>
                <c:pt idx="2">
                  <c:v>7.5251002311706499</c:v>
                </c:pt>
                <c:pt idx="3">
                  <c:v>7.3440999984741202</c:v>
                </c:pt>
                <c:pt idx="4">
                  <c:v>7.3411002159118599</c:v>
                </c:pt>
                <c:pt idx="5">
                  <c:v>7.3193998336791903</c:v>
                </c:pt>
                <c:pt idx="6">
                  <c:v>7.1219000816345197</c:v>
                </c:pt>
                <c:pt idx="7">
                  <c:v>7.0602002143859801</c:v>
                </c:pt>
                <c:pt idx="8">
                  <c:v>7.0569000244140598</c:v>
                </c:pt>
                <c:pt idx="9">
                  <c:v>7.0292000770568803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F-4316-AD92-92891C3F9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912759455"/>
        <c:axId val="1912754655"/>
      </c:barChart>
      <c:catAx>
        <c:axId val="191275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54655"/>
        <c:crosses val="autoZero"/>
        <c:auto val="1"/>
        <c:lblAlgn val="ctr"/>
        <c:lblOffset val="100"/>
        <c:noMultiLvlLbl val="0"/>
      </c:catAx>
      <c:valAx>
        <c:axId val="191275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5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GDP vs Happiness Score 2024 vs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Dashboard!$G$87:$G$220</c:f>
              <c:numCache>
                <c:formatCode>General</c:formatCode>
                <c:ptCount val="134"/>
                <c:pt idx="0">
                  <c:v>1.8440535068511901</c:v>
                </c:pt>
                <c:pt idx="1">
                  <c:v>1.90779769420623</c:v>
                </c:pt>
                <c:pt idx="2">
                  <c:v>1.8807179927825901</c:v>
                </c:pt>
                <c:pt idx="3">
                  <c:v>1.80293357372283</c:v>
                </c:pt>
                <c:pt idx="4">
                  <c:v>1.90065670013427</c:v>
                </c:pt>
                <c:pt idx="5">
                  <c:v>1.87814557552337</c:v>
                </c:pt>
                <c:pt idx="6">
                  <c:v>1.9702684879302901</c:v>
                </c:pt>
                <c:pt idx="7">
                  <c:v>2.1405189037322998</c:v>
                </c:pt>
                <c:pt idx="8">
                  <c:v>1.8103488683700499</c:v>
                </c:pt>
                <c:pt idx="9">
                  <c:v>1.88526535034179</c:v>
                </c:pt>
                <c:pt idx="10">
                  <c:v>1.85425841808319</c:v>
                </c:pt>
                <c:pt idx="11">
                  <c:v>1.83972072601318</c:v>
                </c:pt>
                <c:pt idx="12">
                  <c:v>2.1288285255432098</c:v>
                </c:pt>
                <c:pt idx="13">
                  <c:v>1.9388630390167201</c:v>
                </c:pt>
                <c:pt idx="14">
                  <c:v>1.87133240699768</c:v>
                </c:pt>
                <c:pt idx="15">
                  <c:v>1.86804103851318</c:v>
                </c:pt>
                <c:pt idx="16">
                  <c:v>1.78319144248962</c:v>
                </c:pt>
                <c:pt idx="17">
                  <c:v>1.82221543788909</c:v>
                </c:pt>
                <c:pt idx="18">
                  <c:v>1.7656822204589799</c:v>
                </c:pt>
                <c:pt idx="19">
                  <c:v>1.81834292411804</c:v>
                </c:pt>
                <c:pt idx="20">
                  <c:v>1.7855999469757</c:v>
                </c:pt>
                <c:pt idx="21">
                  <c:v>1.5606451034545801</c:v>
                </c:pt>
                <c:pt idx="22">
                  <c:v>1.69903004169464</c:v>
                </c:pt>
                <c:pt idx="23">
                  <c:v>2.11809849739074</c:v>
                </c:pt>
                <c:pt idx="24">
                  <c:v>1.9831197261810301</c:v>
                </c:pt>
                <c:pt idx="25">
                  <c:v>1.8415800333023</c:v>
                </c:pt>
                <c:pt idx="26">
                  <c:v>1.59556925296783</c:v>
                </c:pt>
                <c:pt idx="27">
                  <c:v>1.7055419683456401</c:v>
                </c:pt>
                <c:pt idx="28">
                  <c:v>1.84239709377288</c:v>
                </c:pt>
                <c:pt idx="29">
                  <c:v>1.75184726715087</c:v>
                </c:pt>
                <c:pt idx="30">
                  <c:v>1.7661887407302801</c:v>
                </c:pt>
                <c:pt idx="31">
                  <c:v>1.8001515865325901</c:v>
                </c:pt>
                <c:pt idx="32">
                  <c:v>1.6164460182189899</c:v>
                </c:pt>
                <c:pt idx="33">
                  <c:v>1.52074146270751</c:v>
                </c:pt>
                <c:pt idx="34">
                  <c:v>1.82693207263946</c:v>
                </c:pt>
                <c:pt idx="35">
                  <c:v>1.70171606540679</c:v>
                </c:pt>
                <c:pt idx="36">
                  <c:v>1.73770380020141</c:v>
                </c:pt>
                <c:pt idx="37">
                  <c:v>1.70029425621032</c:v>
                </c:pt>
                <c:pt idx="38">
                  <c:v>0</c:v>
                </c:pt>
                <c:pt idx="39">
                  <c:v>1.2595252990722601</c:v>
                </c:pt>
                <c:pt idx="40">
                  <c:v>1.6224950551986601</c:v>
                </c:pt>
                <c:pt idx="41">
                  <c:v>1.53782451152801</c:v>
                </c:pt>
                <c:pt idx="42">
                  <c:v>1.7937989234924301</c:v>
                </c:pt>
                <c:pt idx="43">
                  <c:v>1.78572118282318</c:v>
                </c:pt>
                <c:pt idx="44">
                  <c:v>1.7100956439971899</c:v>
                </c:pt>
                <c:pt idx="45">
                  <c:v>1.42952585220336</c:v>
                </c:pt>
                <c:pt idx="46">
                  <c:v>1.26508092880249</c:v>
                </c:pt>
                <c:pt idx="47">
                  <c:v>1.7220711708068801</c:v>
                </c:pt>
                <c:pt idx="48">
                  <c:v>1.5617474317550599</c:v>
                </c:pt>
                <c:pt idx="49">
                  <c:v>1.0906941890716499</c:v>
                </c:pt>
                <c:pt idx="50">
                  <c:v>1.2116951942443801</c:v>
                </c:pt>
                <c:pt idx="51">
                  <c:v>1.6458711624145499</c:v>
                </c:pt>
                <c:pt idx="52">
                  <c:v>1.72756016254425</c:v>
                </c:pt>
                <c:pt idx="53">
                  <c:v>1.81498610973358</c:v>
                </c:pt>
                <c:pt idx="54">
                  <c:v>1.68391549587249</c:v>
                </c:pt>
                <c:pt idx="55">
                  <c:v>1.5704201459884599</c:v>
                </c:pt>
                <c:pt idx="56">
                  <c:v>1.48420751094818</c:v>
                </c:pt>
                <c:pt idx="57">
                  <c:v>1.3527040481567301</c:v>
                </c:pt>
                <c:pt idx="58">
                  <c:v>1.0542736053466699</c:v>
                </c:pt>
                <c:pt idx="59">
                  <c:v>1.38536441326141</c:v>
                </c:pt>
                <c:pt idx="60">
                  <c:v>1.49684822559356</c:v>
                </c:pt>
                <c:pt idx="61">
                  <c:v>1.33050060272216</c:v>
                </c:pt>
                <c:pt idx="62">
                  <c:v>1.3981411457061701</c:v>
                </c:pt>
                <c:pt idx="63">
                  <c:v>1.5705214738845801</c:v>
                </c:pt>
                <c:pt idx="64">
                  <c:v>1.28019499778747</c:v>
                </c:pt>
                <c:pt idx="65">
                  <c:v>1.21705257892608</c:v>
                </c:pt>
                <c:pt idx="66">
                  <c:v>1.6421922445297199</c:v>
                </c:pt>
                <c:pt idx="67">
                  <c:v>1.4647413492202701</c:v>
                </c:pt>
                <c:pt idx="68">
                  <c:v>1.43690550327301</c:v>
                </c:pt>
                <c:pt idx="69">
                  <c:v>1.5166972875595</c:v>
                </c:pt>
                <c:pt idx="70">
                  <c:v>1.31546771526336</c:v>
                </c:pt>
                <c:pt idx="71">
                  <c:v>1.3706018924713099</c:v>
                </c:pt>
                <c:pt idx="72">
                  <c:v>1.23194003105163</c:v>
                </c:pt>
                <c:pt idx="73">
                  <c:v>1.6293822526931701</c:v>
                </c:pt>
                <c:pt idx="74">
                  <c:v>0.96536391973495395</c:v>
                </c:pt>
                <c:pt idx="75">
                  <c:v>1.4435883760452199</c:v>
                </c:pt>
                <c:pt idx="76">
                  <c:v>0</c:v>
                </c:pt>
                <c:pt idx="77">
                  <c:v>1.3235404491424501</c:v>
                </c:pt>
                <c:pt idx="78">
                  <c:v>1.9087110757827701</c:v>
                </c:pt>
                <c:pt idx="79">
                  <c:v>1.43788886070251</c:v>
                </c:pt>
                <c:pt idx="80">
                  <c:v>1.36149454116821</c:v>
                </c:pt>
                <c:pt idx="81">
                  <c:v>1.3891060352325399</c:v>
                </c:pt>
                <c:pt idx="82">
                  <c:v>0.89234101772308305</c:v>
                </c:pt>
                <c:pt idx="83">
                  <c:v>1.47530877590179</c:v>
                </c:pt>
                <c:pt idx="84">
                  <c:v>0</c:v>
                </c:pt>
                <c:pt idx="85">
                  <c:v>1.20846831798553</c:v>
                </c:pt>
                <c:pt idx="86">
                  <c:v>1.4669232368469201</c:v>
                </c:pt>
                <c:pt idx="87">
                  <c:v>0.83056735992431596</c:v>
                </c:pt>
                <c:pt idx="88">
                  <c:v>1.34989845752716</c:v>
                </c:pt>
                <c:pt idx="89">
                  <c:v>1.0801311731338501</c:v>
                </c:pt>
                <c:pt idx="90">
                  <c:v>1.40343749523162</c:v>
                </c:pt>
                <c:pt idx="91">
                  <c:v>1.04177117347717</c:v>
                </c:pt>
                <c:pt idx="92">
                  <c:v>0.94324433803558305</c:v>
                </c:pt>
                <c:pt idx="93">
                  <c:v>0.55976742506027199</c:v>
                </c:pt>
                <c:pt idx="94">
                  <c:v>1.24870264530181</c:v>
                </c:pt>
                <c:pt idx="95">
                  <c:v>1.2130000000000001</c:v>
                </c:pt>
                <c:pt idx="96">
                  <c:v>1.2134435176849301</c:v>
                </c:pt>
                <c:pt idx="97">
                  <c:v>1.4351887702941799</c:v>
                </c:pt>
                <c:pt idx="98">
                  <c:v>0.92735916376113803</c:v>
                </c:pt>
                <c:pt idx="99">
                  <c:v>1.07766008377075</c:v>
                </c:pt>
                <c:pt idx="100">
                  <c:v>0.75584930181503296</c:v>
                </c:pt>
                <c:pt idx="101">
                  <c:v>1.26634609699249</c:v>
                </c:pt>
                <c:pt idx="102">
                  <c:v>1.70157802104949</c:v>
                </c:pt>
                <c:pt idx="103">
                  <c:v>1.07651007175445</c:v>
                </c:pt>
                <c:pt idx="104">
                  <c:v>1.06854236125946</c:v>
                </c:pt>
                <c:pt idx="105">
                  <c:v>0.57284975051879805</c:v>
                </c:pt>
                <c:pt idx="106">
                  <c:v>1.3064451217651301</c:v>
                </c:pt>
                <c:pt idx="107">
                  <c:v>1.03673732280731</c:v>
                </c:pt>
                <c:pt idx="108">
                  <c:v>1.36097240447998</c:v>
                </c:pt>
                <c:pt idx="109">
                  <c:v>0.77195256948471003</c:v>
                </c:pt>
                <c:pt idx="110">
                  <c:v>0.60330259799957198</c:v>
                </c:pt>
                <c:pt idx="111">
                  <c:v>1.0109834671020499</c:v>
                </c:pt>
                <c:pt idx="112">
                  <c:v>0.91357493400573697</c:v>
                </c:pt>
                <c:pt idx="113">
                  <c:v>0.97761642932891801</c:v>
                </c:pt>
                <c:pt idx="114">
                  <c:v>1.1216069459915099</c:v>
                </c:pt>
                <c:pt idx="115">
                  <c:v>0.75029802322387695</c:v>
                </c:pt>
                <c:pt idx="116">
                  <c:v>0.74740672111511197</c:v>
                </c:pt>
                <c:pt idx="117">
                  <c:v>1.3699750900268499</c:v>
                </c:pt>
                <c:pt idx="118">
                  <c:v>0.75849395990371704</c:v>
                </c:pt>
                <c:pt idx="119">
                  <c:v>1.2622883319854701</c:v>
                </c:pt>
                <c:pt idx="120">
                  <c:v>0.79156035184860196</c:v>
                </c:pt>
                <c:pt idx="121">
                  <c:v>0.61877793073654097</c:v>
                </c:pt>
                <c:pt idx="122">
                  <c:v>1.1661732196807799</c:v>
                </c:pt>
                <c:pt idx="123">
                  <c:v>0.62790691852569502</c:v>
                </c:pt>
                <c:pt idx="124">
                  <c:v>0.89897161722183205</c:v>
                </c:pt>
                <c:pt idx="125">
                  <c:v>0.82013702392578103</c:v>
                </c:pt>
                <c:pt idx="126">
                  <c:v>0.89553189277648904</c:v>
                </c:pt>
                <c:pt idx="127">
                  <c:v>0.61691111326217596</c:v>
                </c:pt>
                <c:pt idx="128">
                  <c:v>1.44469130039215</c:v>
                </c:pt>
                <c:pt idx="129">
                  <c:v>0.53367000818252497</c:v>
                </c:pt>
                <c:pt idx="130">
                  <c:v>0.74833720922470004</c:v>
                </c:pt>
                <c:pt idx="131">
                  <c:v>0.65427839756011896</c:v>
                </c:pt>
                <c:pt idx="132">
                  <c:v>1.37672555446624</c:v>
                </c:pt>
                <c:pt idx="133">
                  <c:v>0.62813818454742398</c:v>
                </c:pt>
              </c:numCache>
            </c:numRef>
          </c:xVal>
          <c:yVal>
            <c:numRef>
              <c:f>Dashboard!$H$87:$H$220</c:f>
              <c:numCache>
                <c:formatCode>General</c:formatCode>
                <c:ptCount val="134"/>
                <c:pt idx="0">
                  <c:v>7.7406997680664</c:v>
                </c:pt>
                <c:pt idx="1">
                  <c:v>7.5826997756957999</c:v>
                </c:pt>
                <c:pt idx="2">
                  <c:v>7.5251002311706499</c:v>
                </c:pt>
                <c:pt idx="3">
                  <c:v>7.3411002159118599</c:v>
                </c:pt>
                <c:pt idx="4">
                  <c:v>7.3193998336791903</c:v>
                </c:pt>
                <c:pt idx="5">
                  <c:v>7.3440999984741202</c:v>
                </c:pt>
                <c:pt idx="6">
                  <c:v>7.0602002143859801</c:v>
                </c:pt>
                <c:pt idx="7">
                  <c:v>7.1219000816345197</c:v>
                </c:pt>
                <c:pt idx="8">
                  <c:v>7.0292000770568803</c:v>
                </c:pt>
                <c:pt idx="9">
                  <c:v>6.9046998023986799</c:v>
                </c:pt>
                <c:pt idx="10">
                  <c:v>7.0569000244140598</c:v>
                </c:pt>
                <c:pt idx="11">
                  <c:v>6.8996000289916903</c:v>
                </c:pt>
                <c:pt idx="12">
                  <c:v>6.8379998207092196</c:v>
                </c:pt>
                <c:pt idx="13">
                  <c:v>6.7248001098632804</c:v>
                </c:pt>
                <c:pt idx="14">
                  <c:v>6.7185001373290998</c:v>
                </c:pt>
                <c:pt idx="15">
                  <c:v>6.8941998481750399</c:v>
                </c:pt>
                <c:pt idx="16">
                  <c:v>6.8218002319335902</c:v>
                </c:pt>
                <c:pt idx="17">
                  <c:v>6.7490000724792401</c:v>
                </c:pt>
                <c:pt idx="18">
                  <c:v>6.81750011444091</c:v>
                </c:pt>
                <c:pt idx="19">
                  <c:v>6.6090002059936497</c:v>
                </c:pt>
                <c:pt idx="20">
                  <c:v>6.7432999610900799</c:v>
                </c:pt>
                <c:pt idx="21">
                  <c:v>6.95539999008178</c:v>
                </c:pt>
                <c:pt idx="22">
                  <c:v>6.4911999702453604</c:v>
                </c:pt>
                <c:pt idx="23">
                  <c:v>6.5227999687194798</c:v>
                </c:pt>
                <c:pt idx="24">
                  <c:v>6.7330999374389604</c:v>
                </c:pt>
                <c:pt idx="25">
                  <c:v>6.50349998474121</c:v>
                </c:pt>
                <c:pt idx="26">
                  <c:v>6.6114997863769496</c:v>
                </c:pt>
                <c:pt idx="27">
                  <c:v>6.2571001052856401</c:v>
                </c:pt>
                <c:pt idx="28">
                  <c:v>6.5935001373290998</c:v>
                </c:pt>
                <c:pt idx="29">
                  <c:v>6.4477000236511204</c:v>
                </c:pt>
                <c:pt idx="30">
                  <c:v>6.4208998680114702</c:v>
                </c:pt>
                <c:pt idx="31">
                  <c:v>6.3235001564025799</c:v>
                </c:pt>
                <c:pt idx="32">
                  <c:v>6.3603000640869096</c:v>
                </c:pt>
                <c:pt idx="33">
                  <c:v>6.6779999732971103</c:v>
                </c:pt>
                <c:pt idx="34">
                  <c:v>6.3457999229431099</c:v>
                </c:pt>
                <c:pt idx="35">
                  <c:v>6.3582000732421804</c:v>
                </c:pt>
                <c:pt idx="36">
                  <c:v>6.4415001869201598</c:v>
                </c:pt>
                <c:pt idx="37">
                  <c:v>6.2344999313354403</c:v>
                </c:pt>
                <c:pt idx="38">
                  <c:v>5.9590997695922798</c:v>
                </c:pt>
                <c:pt idx="39">
                  <c:v>6.2870001792907697</c:v>
                </c:pt>
                <c:pt idx="40">
                  <c:v>6.1875</c:v>
                </c:pt>
                <c:pt idx="41">
                  <c:v>6.4107999801635698</c:v>
                </c:pt>
                <c:pt idx="42">
                  <c:v>6.0680999755859304</c:v>
                </c:pt>
                <c:pt idx="43">
                  <c:v>6.0598001480102504</c:v>
                </c:pt>
                <c:pt idx="44">
                  <c:v>5.94229984283447</c:v>
                </c:pt>
                <c:pt idx="45">
                  <c:v>6.2719998359680096</c:v>
                </c:pt>
                <c:pt idx="46">
                  <c:v>6.4686999320983798</c:v>
                </c:pt>
                <c:pt idx="47">
                  <c:v>6.0169000625610298</c:v>
                </c:pt>
                <c:pt idx="48">
                  <c:v>6.1880998611450098</c:v>
                </c:pt>
                <c:pt idx="49">
                  <c:v>5.96840000152587</c:v>
                </c:pt>
                <c:pt idx="50">
                  <c:v>6.1950001716613698</c:v>
                </c:pt>
                <c:pt idx="51">
                  <c:v>5.9752001762390101</c:v>
                </c:pt>
                <c:pt idx="52">
                  <c:v>6.0296001434326101</c:v>
                </c:pt>
                <c:pt idx="53">
                  <c:v>6.05789995193481</c:v>
                </c:pt>
                <c:pt idx="54">
                  <c:v>5.9335999488830504</c:v>
                </c:pt>
                <c:pt idx="55">
                  <c:v>5.8164000511169398</c:v>
                </c:pt>
                <c:pt idx="56">
                  <c:v>5.9760999679565403</c:v>
                </c:pt>
                <c:pt idx="57">
                  <c:v>5.6961998939514098</c:v>
                </c:pt>
                <c:pt idx="58">
                  <c:v>5.71350002288818</c:v>
                </c:pt>
                <c:pt idx="59">
                  <c:v>5.8158998489379803</c:v>
                </c:pt>
                <c:pt idx="60">
                  <c:v>5.9727001190185502</c:v>
                </c:pt>
                <c:pt idx="61">
                  <c:v>6.0430002212524396</c:v>
                </c:pt>
                <c:pt idx="62">
                  <c:v>5.9765000343322701</c:v>
                </c:pt>
                <c:pt idx="63">
                  <c:v>5.7069997787475497</c:v>
                </c:pt>
                <c:pt idx="64">
                  <c:v>5.8417000770568803</c:v>
                </c:pt>
                <c:pt idx="65">
                  <c:v>5.7842998504638601</c:v>
                </c:pt>
                <c:pt idx="66">
                  <c:v>5.7852997779846103</c:v>
                </c:pt>
                <c:pt idx="67">
                  <c:v>5.8769998550415004</c:v>
                </c:pt>
                <c:pt idx="68">
                  <c:v>5.6950998306274396</c:v>
                </c:pt>
                <c:pt idx="69">
                  <c:v>5.8228001594543404</c:v>
                </c:pt>
                <c:pt idx="70">
                  <c:v>5.7245001792907697</c:v>
                </c:pt>
                <c:pt idx="71">
                  <c:v>5.8408999443054199</c:v>
                </c:pt>
                <c:pt idx="72">
                  <c:v>6.0475997924804599</c:v>
                </c:pt>
                <c:pt idx="73">
                  <c:v>5.4626998901367099</c:v>
                </c:pt>
                <c:pt idx="74">
                  <c:v>5.1584000587463299</c:v>
                </c:pt>
                <c:pt idx="75">
                  <c:v>5.4548997879028303</c:v>
                </c:pt>
                <c:pt idx="76">
                  <c:v>5.28070020675659</c:v>
                </c:pt>
                <c:pt idx="77">
                  <c:v>5.3635001182556099</c:v>
                </c:pt>
                <c:pt idx="78">
                  <c:v>5.3164000511169398</c:v>
                </c:pt>
                <c:pt idx="79">
                  <c:v>5.3042001724243102</c:v>
                </c:pt>
                <c:pt idx="80">
                  <c:v>5.5682997703552202</c:v>
                </c:pt>
                <c:pt idx="81">
                  <c:v>5.4219999313354403</c:v>
                </c:pt>
                <c:pt idx="82">
                  <c:v>5.2214999198913503</c:v>
                </c:pt>
                <c:pt idx="83">
                  <c:v>5.3691000938415501</c:v>
                </c:pt>
                <c:pt idx="84">
                  <c:v>5.6066999435424796</c:v>
                </c:pt>
                <c:pt idx="85">
                  <c:v>5.1388998031616202</c:v>
                </c:pt>
                <c:pt idx="86">
                  <c:v>5.1847000122070304</c:v>
                </c:pt>
                <c:pt idx="87">
                  <c:v>5.0233001708984304</c:v>
                </c:pt>
                <c:pt idx="88">
                  <c:v>4.8730001449584899</c:v>
                </c:pt>
                <c:pt idx="89">
                  <c:v>5.0801000595092702</c:v>
                </c:pt>
                <c:pt idx="90">
                  <c:v>5.1062998771667401</c:v>
                </c:pt>
                <c:pt idx="91">
                  <c:v>4.8807997703552202</c:v>
                </c:pt>
                <c:pt idx="92">
                  <c:v>4.8744001388549796</c:v>
                </c:pt>
                <c:pt idx="93">
                  <c:v>5.2164001464843697</c:v>
                </c:pt>
                <c:pt idx="94">
                  <c:v>5.1659998893737704</c:v>
                </c:pt>
                <c:pt idx="95">
                  <c:v>4.8794999122619602</c:v>
                </c:pt>
                <c:pt idx="96">
                  <c:v>4.7947001457214302</c:v>
                </c:pt>
                <c:pt idx="97">
                  <c:v>4.9228000640869096</c:v>
                </c:pt>
                <c:pt idx="98">
                  <c:v>4.9685997962951598</c:v>
                </c:pt>
                <c:pt idx="99">
                  <c:v>4.5050997734069798</c:v>
                </c:pt>
                <c:pt idx="100">
                  <c:v>4.5479998588562003</c:v>
                </c:pt>
                <c:pt idx="101">
                  <c:v>4.8316998481750399</c:v>
                </c:pt>
                <c:pt idx="102">
                  <c:v>4.9752998352050701</c:v>
                </c:pt>
                <c:pt idx="103">
                  <c:v>4.2894001007079998</c:v>
                </c:pt>
                <c:pt idx="104">
                  <c:v>4.6567001342773402</c:v>
                </c:pt>
                <c:pt idx="105">
                  <c:v>4.5563001632690403</c:v>
                </c:pt>
                <c:pt idx="106">
                  <c:v>4.4218001365661603</c:v>
                </c:pt>
                <c:pt idx="107">
                  <c:v>4.46960020065307</c:v>
                </c:pt>
                <c:pt idx="108">
                  <c:v>3.89809989929199</c:v>
                </c:pt>
                <c:pt idx="109">
                  <c:v>4.37169981002807</c:v>
                </c:pt>
                <c:pt idx="110">
                  <c:v>4.4713001251220703</c:v>
                </c:pt>
                <c:pt idx="111">
                  <c:v>4.3407001495361301</c:v>
                </c:pt>
                <c:pt idx="112">
                  <c:v>4.3773999214172301</c:v>
                </c:pt>
                <c:pt idx="113">
                  <c:v>4.3544998168945304</c:v>
                </c:pt>
                <c:pt idx="114">
                  <c:v>3.8859000205993599</c:v>
                </c:pt>
                <c:pt idx="115">
                  <c:v>4.4848999977111799</c:v>
                </c:pt>
                <c:pt idx="116">
                  <c:v>4.2319998741149902</c:v>
                </c:pt>
                <c:pt idx="117">
                  <c:v>3.9765999317169101</c:v>
                </c:pt>
                <c:pt idx="118">
                  <c:v>4.2140998840331996</c:v>
                </c:pt>
                <c:pt idx="119">
                  <c:v>4.1858000755309996</c:v>
                </c:pt>
                <c:pt idx="120">
                  <c:v>3.86089992523193</c:v>
                </c:pt>
                <c:pt idx="121">
                  <c:v>4.2685999870300204</c:v>
                </c:pt>
                <c:pt idx="122">
                  <c:v>4.0541000366210902</c:v>
                </c:pt>
                <c:pt idx="123">
                  <c:v>4.2279000282287598</c:v>
                </c:pt>
                <c:pt idx="124">
                  <c:v>3.5023999214172301</c:v>
                </c:pt>
                <c:pt idx="125">
                  <c:v>3.7806000709533598</c:v>
                </c:pt>
                <c:pt idx="126">
                  <c:v>3.5662999153137198</c:v>
                </c:pt>
                <c:pt idx="127">
                  <c:v>3.4210000038146902</c:v>
                </c:pt>
                <c:pt idx="128">
                  <c:v>3.3833999633789</c:v>
                </c:pt>
                <c:pt idx="129">
                  <c:v>3.2953999042510902</c:v>
                </c:pt>
                <c:pt idx="130">
                  <c:v>3.3410999774932799</c:v>
                </c:pt>
                <c:pt idx="131">
                  <c:v>3.2451999187469398</c:v>
                </c:pt>
                <c:pt idx="132">
                  <c:v>2.7065000534057599</c:v>
                </c:pt>
                <c:pt idx="133">
                  <c:v>1.7209999561309799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F-4C9F-9A49-09949B199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767135"/>
        <c:axId val="1912758975"/>
      </c:scatterChart>
      <c:valAx>
        <c:axId val="1912767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58975"/>
        <c:crosses val="autoZero"/>
        <c:crossBetween val="midCat"/>
      </c:valAx>
      <c:valAx>
        <c:axId val="191275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67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Freedom vs Happiness (2024 vs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Dashboard!$I$87:$I$220</c:f>
              <c:numCache>
                <c:formatCode>General</c:formatCode>
                <c:ptCount val="134"/>
                <c:pt idx="0">
                  <c:v>0.85929417610168402</c:v>
                </c:pt>
                <c:pt idx="1">
                  <c:v>0.82273989915847701</c:v>
                </c:pt>
                <c:pt idx="2">
                  <c:v>0.81850868463516202</c:v>
                </c:pt>
                <c:pt idx="3">
                  <c:v>0.641462862491607</c:v>
                </c:pt>
                <c:pt idx="4">
                  <c:v>0.72508126497268599</c:v>
                </c:pt>
                <c:pt idx="5">
                  <c:v>0.83826935291290205</c:v>
                </c:pt>
                <c:pt idx="6">
                  <c:v>0.75915956497192305</c:v>
                </c:pt>
                <c:pt idx="7">
                  <c:v>0.80121308565139704</c:v>
                </c:pt>
                <c:pt idx="8">
                  <c:v>0.745547175407409</c:v>
                </c:pt>
                <c:pt idx="9">
                  <c:v>0.702744901180267</c:v>
                </c:pt>
                <c:pt idx="10">
                  <c:v>0.75627064704894997</c:v>
                </c:pt>
                <c:pt idx="11">
                  <c:v>0.73007637262344305</c:v>
                </c:pt>
                <c:pt idx="12">
                  <c:v>0.75762069225311202</c:v>
                </c:pt>
                <c:pt idx="13">
                  <c:v>0.58635401725768999</c:v>
                </c:pt>
                <c:pt idx="14">
                  <c:v>0.69984734058380105</c:v>
                </c:pt>
                <c:pt idx="15">
                  <c:v>0.72876101732253995</c:v>
                </c:pt>
                <c:pt idx="16">
                  <c:v>0.78650104999542203</c:v>
                </c:pt>
                <c:pt idx="17">
                  <c:v>0.71310406923294001</c:v>
                </c:pt>
                <c:pt idx="18">
                  <c:v>0.53268539905548096</c:v>
                </c:pt>
                <c:pt idx="19">
                  <c:v>0.64982038736343295</c:v>
                </c:pt>
                <c:pt idx="20">
                  <c:v>0.78949558734893799</c:v>
                </c:pt>
                <c:pt idx="21">
                  <c:v>0.796511530876159</c:v>
                </c:pt>
                <c:pt idx="22">
                  <c:v>0.71656727790832497</c:v>
                </c:pt>
                <c:pt idx="23">
                  <c:v>0.74294829368591297</c:v>
                </c:pt>
                <c:pt idx="24">
                  <c:v>0.81499636173248202</c:v>
                </c:pt>
                <c:pt idx="25">
                  <c:v>0.64903622865676802</c:v>
                </c:pt>
                <c:pt idx="26">
                  <c:v>0.77518963813781705</c:v>
                </c:pt>
                <c:pt idx="27">
                  <c:v>0.56641948223114003</c:v>
                </c:pt>
                <c:pt idx="28">
                  <c:v>0.78711843490600497</c:v>
                </c:pt>
                <c:pt idx="29">
                  <c:v>0.80537539720535201</c:v>
                </c:pt>
                <c:pt idx="30">
                  <c:v>0.61898076534271196</c:v>
                </c:pt>
                <c:pt idx="31">
                  <c:v>0.51298743486404397</c:v>
                </c:pt>
                <c:pt idx="32">
                  <c:v>0.65083158016204801</c:v>
                </c:pt>
                <c:pt idx="33">
                  <c:v>0.72211104631423895</c:v>
                </c:pt>
                <c:pt idx="34">
                  <c:v>0.72701311111450195</c:v>
                </c:pt>
                <c:pt idx="35">
                  <c:v>0.71992337703704801</c:v>
                </c:pt>
                <c:pt idx="36">
                  <c:v>0.60003972053527799</c:v>
                </c:pt>
                <c:pt idx="37">
                  <c:v>0.66628980636596602</c:v>
                </c:pt>
                <c:pt idx="38">
                  <c:v>0</c:v>
                </c:pt>
                <c:pt idx="39">
                  <c:v>0.73530352115631104</c:v>
                </c:pt>
                <c:pt idx="40">
                  <c:v>0.73258322477340698</c:v>
                </c:pt>
                <c:pt idx="41">
                  <c:v>0.66322684288024902</c:v>
                </c:pt>
                <c:pt idx="42">
                  <c:v>0.52878993749618497</c:v>
                </c:pt>
                <c:pt idx="43">
                  <c:v>0.63151836395263605</c:v>
                </c:pt>
                <c:pt idx="44">
                  <c:v>0.46918749809265098</c:v>
                </c:pt>
                <c:pt idx="45">
                  <c:v>0.68522375822067205</c:v>
                </c:pt>
                <c:pt idx="46">
                  <c:v>0.81603050231933505</c:v>
                </c:pt>
                <c:pt idx="47">
                  <c:v>0.58092683553695601</c:v>
                </c:pt>
                <c:pt idx="48">
                  <c:v>0.68074375391006403</c:v>
                </c:pt>
                <c:pt idx="49">
                  <c:v>0.71987932920455899</c:v>
                </c:pt>
                <c:pt idx="50">
                  <c:v>0.83495360612869196</c:v>
                </c:pt>
                <c:pt idx="51">
                  <c:v>0.82854324579238803</c:v>
                </c:pt>
                <c:pt idx="52">
                  <c:v>0.75667178630828802</c:v>
                </c:pt>
                <c:pt idx="53">
                  <c:v>0.55467605590820301</c:v>
                </c:pt>
                <c:pt idx="54">
                  <c:v>0.33715590834617598</c:v>
                </c:pt>
                <c:pt idx="55">
                  <c:v>0.64079582691192605</c:v>
                </c:pt>
                <c:pt idx="56">
                  <c:v>0.75567859411239602</c:v>
                </c:pt>
                <c:pt idx="57">
                  <c:v>0.50080066919326705</c:v>
                </c:pt>
                <c:pt idx="58">
                  <c:v>0.83427447080612105</c:v>
                </c:pt>
                <c:pt idx="59">
                  <c:v>0.69485604763030995</c:v>
                </c:pt>
                <c:pt idx="60">
                  <c:v>0.70440632104873602</c:v>
                </c:pt>
                <c:pt idx="61">
                  <c:v>0.84256321191787698</c:v>
                </c:pt>
                <c:pt idx="62">
                  <c:v>0.78757679462432795</c:v>
                </c:pt>
                <c:pt idx="63">
                  <c:v>0.63172835111617998</c:v>
                </c:pt>
                <c:pt idx="64">
                  <c:v>0.64691823720931996</c:v>
                </c:pt>
                <c:pt idx="65">
                  <c:v>0.71946114301681496</c:v>
                </c:pt>
                <c:pt idx="66">
                  <c:v>0.55145341157913197</c:v>
                </c:pt>
                <c:pt idx="67">
                  <c:v>0.62063795328140203</c:v>
                </c:pt>
                <c:pt idx="68">
                  <c:v>0.64391934871673495</c:v>
                </c:pt>
                <c:pt idx="69">
                  <c:v>0.729894399642944</c:v>
                </c:pt>
                <c:pt idx="70">
                  <c:v>0.60608112812042203</c:v>
                </c:pt>
                <c:pt idx="71">
                  <c:v>0.61484372615814198</c:v>
                </c:pt>
                <c:pt idx="72">
                  <c:v>0.82627832889556796</c:v>
                </c:pt>
                <c:pt idx="73">
                  <c:v>0.62039607763290405</c:v>
                </c:pt>
                <c:pt idx="74">
                  <c:v>0.65291428565979004</c:v>
                </c:pt>
                <c:pt idx="75">
                  <c:v>0.65023398399353005</c:v>
                </c:pt>
                <c:pt idx="76">
                  <c:v>0</c:v>
                </c:pt>
                <c:pt idx="77">
                  <c:v>0.24701155722141199</c:v>
                </c:pt>
                <c:pt idx="78">
                  <c:v>0.48470968008041299</c:v>
                </c:pt>
                <c:pt idx="79">
                  <c:v>0.68972975015640203</c:v>
                </c:pt>
                <c:pt idx="80">
                  <c:v>0.77944535017013505</c:v>
                </c:pt>
                <c:pt idx="81">
                  <c:v>0.53659015893936102</c:v>
                </c:pt>
                <c:pt idx="82">
                  <c:v>0.52273505926132202</c:v>
                </c:pt>
                <c:pt idx="83">
                  <c:v>0.57972711324691695</c:v>
                </c:pt>
                <c:pt idx="84">
                  <c:v>0.51791286468505804</c:v>
                </c:pt>
                <c:pt idx="85">
                  <c:v>0.79646611213684004</c:v>
                </c:pt>
                <c:pt idx="86">
                  <c:v>0.67981415987014704</c:v>
                </c:pt>
                <c:pt idx="87">
                  <c:v>0.52128487825393599</c:v>
                </c:pt>
                <c:pt idx="88">
                  <c:v>0.63064908981323198</c:v>
                </c:pt>
                <c:pt idx="89">
                  <c:v>0.54695111513137795</c:v>
                </c:pt>
                <c:pt idx="90">
                  <c:v>0.51581484079360895</c:v>
                </c:pt>
                <c:pt idx="91">
                  <c:v>0.56580913066864003</c:v>
                </c:pt>
                <c:pt idx="92">
                  <c:v>0.52122795581817605</c:v>
                </c:pt>
                <c:pt idx="93">
                  <c:v>0.72811126708984297</c:v>
                </c:pt>
                <c:pt idx="94">
                  <c:v>0.42452463507652199</c:v>
                </c:pt>
                <c:pt idx="95">
                  <c:v>0.71299999999999997</c:v>
                </c:pt>
                <c:pt idx="96">
                  <c:v>0.63110250234603804</c:v>
                </c:pt>
                <c:pt idx="97">
                  <c:v>0.36550146341323803</c:v>
                </c:pt>
                <c:pt idx="98">
                  <c:v>0.60675263404846103</c:v>
                </c:pt>
                <c:pt idx="99">
                  <c:v>0.34259742498397799</c:v>
                </c:pt>
                <c:pt idx="100">
                  <c:v>0.482939183712005</c:v>
                </c:pt>
                <c:pt idx="101">
                  <c:v>0.46973705291748002</c:v>
                </c:pt>
                <c:pt idx="102">
                  <c:v>0.20207588374614699</c:v>
                </c:pt>
                <c:pt idx="103">
                  <c:v>0.62322330474853505</c:v>
                </c:pt>
                <c:pt idx="104">
                  <c:v>0.54194521903991699</c:v>
                </c:pt>
                <c:pt idx="105">
                  <c:v>0.614515721797943</c:v>
                </c:pt>
                <c:pt idx="106">
                  <c:v>0.25393915176391602</c:v>
                </c:pt>
                <c:pt idx="107">
                  <c:v>0.51859217882156305</c:v>
                </c:pt>
                <c:pt idx="108">
                  <c:v>0.58306217193603505</c:v>
                </c:pt>
                <c:pt idx="109">
                  <c:v>0.58744722604751498</c:v>
                </c:pt>
                <c:pt idx="110">
                  <c:v>0.41112658381461997</c:v>
                </c:pt>
                <c:pt idx="111">
                  <c:v>0.863331079483032</c:v>
                </c:pt>
                <c:pt idx="112">
                  <c:v>0.56680840253829901</c:v>
                </c:pt>
                <c:pt idx="113">
                  <c:v>0.45041283965110701</c:v>
                </c:pt>
                <c:pt idx="114">
                  <c:v>0.77485388517379705</c:v>
                </c:pt>
                <c:pt idx="115">
                  <c:v>0.45858886837959201</c:v>
                </c:pt>
                <c:pt idx="116">
                  <c:v>0.58569979667663497</c:v>
                </c:pt>
                <c:pt idx="117">
                  <c:v>0.48970222473144498</c:v>
                </c:pt>
                <c:pt idx="118">
                  <c:v>0.452633947134017</c:v>
                </c:pt>
                <c:pt idx="119">
                  <c:v>0.593222856521606</c:v>
                </c:pt>
                <c:pt idx="120">
                  <c:v>0.44089117646217302</c:v>
                </c:pt>
                <c:pt idx="121">
                  <c:v>0.54583978652954102</c:v>
                </c:pt>
                <c:pt idx="122">
                  <c:v>0.76659846305847101</c:v>
                </c:pt>
                <c:pt idx="123">
                  <c:v>0.25047516822814903</c:v>
                </c:pt>
                <c:pt idx="124">
                  <c:v>0.72705924510955799</c:v>
                </c:pt>
                <c:pt idx="125">
                  <c:v>0.70925503969192505</c:v>
                </c:pt>
                <c:pt idx="126">
                  <c:v>0.17212426662444999</c:v>
                </c:pt>
                <c:pt idx="127">
                  <c:v>0.570892453193664</c:v>
                </c:pt>
                <c:pt idx="128">
                  <c:v>0.56670814752578702</c:v>
                </c:pt>
                <c:pt idx="129">
                  <c:v>0.47270506620407099</c:v>
                </c:pt>
                <c:pt idx="130">
                  <c:v>0.48692381381988498</c:v>
                </c:pt>
                <c:pt idx="131">
                  <c:v>0.46903476119041398</c:v>
                </c:pt>
                <c:pt idx="132">
                  <c:v>0.17322312295436801</c:v>
                </c:pt>
                <c:pt idx="133">
                  <c:v>0</c:v>
                </c:pt>
              </c:numCache>
            </c:numRef>
          </c:xVal>
          <c:yVal>
            <c:numRef>
              <c:f>Dashboard!$J$87:$J$220</c:f>
              <c:numCache>
                <c:formatCode>General</c:formatCode>
                <c:ptCount val="134"/>
                <c:pt idx="0">
                  <c:v>7.7406997680664</c:v>
                </c:pt>
                <c:pt idx="1">
                  <c:v>7.5826997756957999</c:v>
                </c:pt>
                <c:pt idx="2">
                  <c:v>7.5251002311706499</c:v>
                </c:pt>
                <c:pt idx="3">
                  <c:v>7.3411002159118599</c:v>
                </c:pt>
                <c:pt idx="4">
                  <c:v>7.3193998336791903</c:v>
                </c:pt>
                <c:pt idx="5">
                  <c:v>7.3440999984741202</c:v>
                </c:pt>
                <c:pt idx="6">
                  <c:v>7.0602002143859801</c:v>
                </c:pt>
                <c:pt idx="7">
                  <c:v>7.1219000816345197</c:v>
                </c:pt>
                <c:pt idx="8">
                  <c:v>7.0292000770568803</c:v>
                </c:pt>
                <c:pt idx="9">
                  <c:v>6.9046998023986799</c:v>
                </c:pt>
                <c:pt idx="10">
                  <c:v>7.0569000244140598</c:v>
                </c:pt>
                <c:pt idx="11">
                  <c:v>6.8996000289916903</c:v>
                </c:pt>
                <c:pt idx="12">
                  <c:v>6.8379998207092196</c:v>
                </c:pt>
                <c:pt idx="13">
                  <c:v>6.7248001098632804</c:v>
                </c:pt>
                <c:pt idx="14">
                  <c:v>6.7185001373290998</c:v>
                </c:pt>
                <c:pt idx="15">
                  <c:v>6.8941998481750399</c:v>
                </c:pt>
                <c:pt idx="16">
                  <c:v>6.8218002319335902</c:v>
                </c:pt>
                <c:pt idx="17">
                  <c:v>6.7490000724792401</c:v>
                </c:pt>
                <c:pt idx="18">
                  <c:v>6.81750011444091</c:v>
                </c:pt>
                <c:pt idx="19">
                  <c:v>6.6090002059936497</c:v>
                </c:pt>
                <c:pt idx="20">
                  <c:v>6.7432999610900799</c:v>
                </c:pt>
                <c:pt idx="21">
                  <c:v>6.95539999008178</c:v>
                </c:pt>
                <c:pt idx="22">
                  <c:v>6.4911999702453604</c:v>
                </c:pt>
                <c:pt idx="23">
                  <c:v>6.5227999687194798</c:v>
                </c:pt>
                <c:pt idx="24">
                  <c:v>6.7330999374389604</c:v>
                </c:pt>
                <c:pt idx="25">
                  <c:v>6.50349998474121</c:v>
                </c:pt>
                <c:pt idx="26">
                  <c:v>6.6114997863769496</c:v>
                </c:pt>
                <c:pt idx="27">
                  <c:v>6.2571001052856401</c:v>
                </c:pt>
                <c:pt idx="28">
                  <c:v>6.5935001373290998</c:v>
                </c:pt>
                <c:pt idx="29">
                  <c:v>6.4477000236511204</c:v>
                </c:pt>
                <c:pt idx="30">
                  <c:v>6.4208998680114702</c:v>
                </c:pt>
                <c:pt idx="31">
                  <c:v>6.3235001564025799</c:v>
                </c:pt>
                <c:pt idx="32">
                  <c:v>6.3603000640869096</c:v>
                </c:pt>
                <c:pt idx="33">
                  <c:v>6.6779999732971103</c:v>
                </c:pt>
                <c:pt idx="34">
                  <c:v>6.3457999229431099</c:v>
                </c:pt>
                <c:pt idx="35">
                  <c:v>6.3582000732421804</c:v>
                </c:pt>
                <c:pt idx="36">
                  <c:v>6.4415001869201598</c:v>
                </c:pt>
                <c:pt idx="37">
                  <c:v>6.2344999313354403</c:v>
                </c:pt>
                <c:pt idx="38">
                  <c:v>5.9590997695922798</c:v>
                </c:pt>
                <c:pt idx="39">
                  <c:v>6.2870001792907697</c:v>
                </c:pt>
                <c:pt idx="40">
                  <c:v>6.1875</c:v>
                </c:pt>
                <c:pt idx="41">
                  <c:v>6.4107999801635698</c:v>
                </c:pt>
                <c:pt idx="42">
                  <c:v>6.0680999755859304</c:v>
                </c:pt>
                <c:pt idx="43">
                  <c:v>6.0598001480102504</c:v>
                </c:pt>
                <c:pt idx="44">
                  <c:v>5.94229984283447</c:v>
                </c:pt>
                <c:pt idx="45">
                  <c:v>6.2719998359680096</c:v>
                </c:pt>
                <c:pt idx="46">
                  <c:v>6.4686999320983798</c:v>
                </c:pt>
                <c:pt idx="47">
                  <c:v>6.0169000625610298</c:v>
                </c:pt>
                <c:pt idx="48">
                  <c:v>6.1880998611450098</c:v>
                </c:pt>
                <c:pt idx="49">
                  <c:v>5.96840000152587</c:v>
                </c:pt>
                <c:pt idx="50">
                  <c:v>6.1950001716613698</c:v>
                </c:pt>
                <c:pt idx="51">
                  <c:v>5.9752001762390101</c:v>
                </c:pt>
                <c:pt idx="52">
                  <c:v>6.0296001434326101</c:v>
                </c:pt>
                <c:pt idx="53">
                  <c:v>6.05789995193481</c:v>
                </c:pt>
                <c:pt idx="54">
                  <c:v>5.9335999488830504</c:v>
                </c:pt>
                <c:pt idx="55">
                  <c:v>5.8164000511169398</c:v>
                </c:pt>
                <c:pt idx="56">
                  <c:v>5.9760999679565403</c:v>
                </c:pt>
                <c:pt idx="57">
                  <c:v>5.6961998939514098</c:v>
                </c:pt>
                <c:pt idx="58">
                  <c:v>5.71350002288818</c:v>
                </c:pt>
                <c:pt idx="59">
                  <c:v>5.8158998489379803</c:v>
                </c:pt>
                <c:pt idx="60">
                  <c:v>5.9727001190185502</c:v>
                </c:pt>
                <c:pt idx="61">
                  <c:v>6.0430002212524396</c:v>
                </c:pt>
                <c:pt idx="62">
                  <c:v>5.9765000343322701</c:v>
                </c:pt>
                <c:pt idx="63">
                  <c:v>5.7069997787475497</c:v>
                </c:pt>
                <c:pt idx="64">
                  <c:v>5.8417000770568803</c:v>
                </c:pt>
                <c:pt idx="65">
                  <c:v>5.7842998504638601</c:v>
                </c:pt>
                <c:pt idx="66">
                  <c:v>5.7852997779846103</c:v>
                </c:pt>
                <c:pt idx="67">
                  <c:v>5.8769998550415004</c:v>
                </c:pt>
                <c:pt idx="68">
                  <c:v>5.6950998306274396</c:v>
                </c:pt>
                <c:pt idx="69">
                  <c:v>5.8228001594543404</c:v>
                </c:pt>
                <c:pt idx="70">
                  <c:v>5.7245001792907697</c:v>
                </c:pt>
                <c:pt idx="71">
                  <c:v>5.8408999443054199</c:v>
                </c:pt>
                <c:pt idx="72">
                  <c:v>6.0475997924804599</c:v>
                </c:pt>
                <c:pt idx="73">
                  <c:v>5.4626998901367099</c:v>
                </c:pt>
                <c:pt idx="74">
                  <c:v>5.1584000587463299</c:v>
                </c:pt>
                <c:pt idx="75">
                  <c:v>5.4548997879028303</c:v>
                </c:pt>
                <c:pt idx="76">
                  <c:v>5.28070020675659</c:v>
                </c:pt>
                <c:pt idx="77">
                  <c:v>5.3635001182556099</c:v>
                </c:pt>
                <c:pt idx="78">
                  <c:v>5.3164000511169398</c:v>
                </c:pt>
                <c:pt idx="79">
                  <c:v>5.3042001724243102</c:v>
                </c:pt>
                <c:pt idx="80">
                  <c:v>5.5682997703552202</c:v>
                </c:pt>
                <c:pt idx="81">
                  <c:v>5.4219999313354403</c:v>
                </c:pt>
                <c:pt idx="82">
                  <c:v>5.2214999198913503</c:v>
                </c:pt>
                <c:pt idx="83">
                  <c:v>5.3691000938415501</c:v>
                </c:pt>
                <c:pt idx="84">
                  <c:v>5.6066999435424796</c:v>
                </c:pt>
                <c:pt idx="85">
                  <c:v>5.1388998031616202</c:v>
                </c:pt>
                <c:pt idx="86">
                  <c:v>5.1847000122070304</c:v>
                </c:pt>
                <c:pt idx="87">
                  <c:v>5.0233001708984304</c:v>
                </c:pt>
                <c:pt idx="88">
                  <c:v>4.8730001449584899</c:v>
                </c:pt>
                <c:pt idx="89">
                  <c:v>5.0801000595092702</c:v>
                </c:pt>
                <c:pt idx="90">
                  <c:v>5.1062998771667401</c:v>
                </c:pt>
                <c:pt idx="91">
                  <c:v>4.8807997703552202</c:v>
                </c:pt>
                <c:pt idx="92">
                  <c:v>4.8744001388549796</c:v>
                </c:pt>
                <c:pt idx="93">
                  <c:v>5.2164001464843697</c:v>
                </c:pt>
                <c:pt idx="94">
                  <c:v>5.1659998893737704</c:v>
                </c:pt>
                <c:pt idx="95">
                  <c:v>4.8794999122619602</c:v>
                </c:pt>
                <c:pt idx="96">
                  <c:v>4.7947001457214302</c:v>
                </c:pt>
                <c:pt idx="97">
                  <c:v>4.9228000640869096</c:v>
                </c:pt>
                <c:pt idx="98">
                  <c:v>4.9685997962951598</c:v>
                </c:pt>
                <c:pt idx="99">
                  <c:v>4.5050997734069798</c:v>
                </c:pt>
                <c:pt idx="100">
                  <c:v>4.5479998588562003</c:v>
                </c:pt>
                <c:pt idx="101">
                  <c:v>4.8316998481750399</c:v>
                </c:pt>
                <c:pt idx="102">
                  <c:v>4.9752998352050701</c:v>
                </c:pt>
                <c:pt idx="103">
                  <c:v>4.2894001007079998</c:v>
                </c:pt>
                <c:pt idx="104">
                  <c:v>4.6567001342773402</c:v>
                </c:pt>
                <c:pt idx="105">
                  <c:v>4.5563001632690403</c:v>
                </c:pt>
                <c:pt idx="106">
                  <c:v>4.4218001365661603</c:v>
                </c:pt>
                <c:pt idx="107">
                  <c:v>4.46960020065307</c:v>
                </c:pt>
                <c:pt idx="108">
                  <c:v>3.89809989929199</c:v>
                </c:pt>
                <c:pt idx="109">
                  <c:v>4.37169981002807</c:v>
                </c:pt>
                <c:pt idx="110">
                  <c:v>4.4713001251220703</c:v>
                </c:pt>
                <c:pt idx="111">
                  <c:v>4.3407001495361301</c:v>
                </c:pt>
                <c:pt idx="112">
                  <c:v>4.3773999214172301</c:v>
                </c:pt>
                <c:pt idx="113">
                  <c:v>4.3544998168945304</c:v>
                </c:pt>
                <c:pt idx="114">
                  <c:v>3.8859000205993599</c:v>
                </c:pt>
                <c:pt idx="115">
                  <c:v>4.4848999977111799</c:v>
                </c:pt>
                <c:pt idx="116">
                  <c:v>4.2319998741149902</c:v>
                </c:pt>
                <c:pt idx="117">
                  <c:v>3.9765999317169101</c:v>
                </c:pt>
                <c:pt idx="118">
                  <c:v>4.2140998840331996</c:v>
                </c:pt>
                <c:pt idx="119">
                  <c:v>4.1858000755309996</c:v>
                </c:pt>
                <c:pt idx="120">
                  <c:v>3.86089992523193</c:v>
                </c:pt>
                <c:pt idx="121">
                  <c:v>4.2685999870300204</c:v>
                </c:pt>
                <c:pt idx="122">
                  <c:v>4.0541000366210902</c:v>
                </c:pt>
                <c:pt idx="123">
                  <c:v>4.2279000282287598</c:v>
                </c:pt>
                <c:pt idx="124">
                  <c:v>3.5023999214172301</c:v>
                </c:pt>
                <c:pt idx="125">
                  <c:v>3.7806000709533598</c:v>
                </c:pt>
                <c:pt idx="126">
                  <c:v>3.5662999153137198</c:v>
                </c:pt>
                <c:pt idx="127">
                  <c:v>3.4210000038146902</c:v>
                </c:pt>
                <c:pt idx="128">
                  <c:v>3.3833999633789</c:v>
                </c:pt>
                <c:pt idx="129">
                  <c:v>3.2953999042510902</c:v>
                </c:pt>
                <c:pt idx="130">
                  <c:v>3.3410999774932799</c:v>
                </c:pt>
                <c:pt idx="131">
                  <c:v>3.2451999187469398</c:v>
                </c:pt>
                <c:pt idx="132">
                  <c:v>2.7065000534057599</c:v>
                </c:pt>
                <c:pt idx="133">
                  <c:v>1.7209999561309799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0B-4246-8B6B-043B6A5EB9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769535"/>
        <c:axId val="1912770015"/>
      </c:scatterChart>
      <c:valAx>
        <c:axId val="191276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70015"/>
        <c:crosses val="autoZero"/>
        <c:crossBetween val="midCat"/>
      </c:valAx>
      <c:valAx>
        <c:axId val="19127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69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Largest Happiness Score Changes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Dashboard!$M$85</c:f>
              <c:strCache>
                <c:ptCount val="1"/>
                <c:pt idx="0">
                  <c:v>Score Change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Dashboard!$L$86:$L$106</c:f>
              <c:strCache>
                <c:ptCount val="21"/>
                <c:pt idx="1">
                  <c:v>Sri Lanka</c:v>
                </c:pt>
                <c:pt idx="2">
                  <c:v>Philippines</c:v>
                </c:pt>
                <c:pt idx="3">
                  <c:v>Zambia</c:v>
                </c:pt>
                <c:pt idx="4">
                  <c:v>Bangladesh</c:v>
                </c:pt>
                <c:pt idx="5">
                  <c:v>Venezuela</c:v>
                </c:pt>
                <c:pt idx="6">
                  <c:v>Turkiye</c:v>
                </c:pt>
                <c:pt idx="7">
                  <c:v>Mexico</c:v>
                </c:pt>
                <c:pt idx="8">
                  <c:v>El Salvador</c:v>
                </c:pt>
                <c:pt idx="9">
                  <c:v>Costa Rica</c:v>
                </c:pt>
                <c:pt idx="10">
                  <c:v>Ghana</c:v>
                </c:pt>
                <c:pt idx="11">
                  <c:v>Peru</c:v>
                </c:pt>
                <c:pt idx="12">
                  <c:v>Lebanon</c:v>
                </c:pt>
                <c:pt idx="13">
                  <c:v>Indonesia</c:v>
                </c:pt>
                <c:pt idx="14">
                  <c:v>Vietnam</c:v>
                </c:pt>
                <c:pt idx="15">
                  <c:v>Serbia</c:v>
                </c:pt>
                <c:pt idx="16">
                  <c:v>Mozambique</c:v>
                </c:pt>
                <c:pt idx="17">
                  <c:v>Dominican Republic</c:v>
                </c:pt>
                <c:pt idx="18">
                  <c:v>Bosnia and Herzegovina</c:v>
                </c:pt>
                <c:pt idx="19">
                  <c:v>Paraguay</c:v>
                </c:pt>
                <c:pt idx="20">
                  <c:v>Ethiopia</c:v>
                </c:pt>
              </c:strCache>
            </c:strRef>
          </c:cat>
          <c:val>
            <c:numRef>
              <c:f>Dashboard!$M$86:$M$106</c:f>
              <c:numCache>
                <c:formatCode>General</c:formatCode>
                <c:ptCount val="21"/>
                <c:pt idx="1">
                  <c:v>-0.54349999999999998</c:v>
                </c:pt>
                <c:pt idx="2">
                  <c:v>0.52470000000000006</c:v>
                </c:pt>
                <c:pt idx="3">
                  <c:v>-0.4798</c:v>
                </c:pt>
                <c:pt idx="4">
                  <c:v>-0.3962</c:v>
                </c:pt>
                <c:pt idx="5">
                  <c:v>0.39610000000000001</c:v>
                </c:pt>
                <c:pt idx="6">
                  <c:v>0.36180000000000001</c:v>
                </c:pt>
                <c:pt idx="7">
                  <c:v>0.34849999999999998</c:v>
                </c:pt>
                <c:pt idx="8">
                  <c:v>0.34710000000000002</c:v>
                </c:pt>
                <c:pt idx="9">
                  <c:v>0.34689999999999999</c:v>
                </c:pt>
                <c:pt idx="10">
                  <c:v>-0.31559999999999999</c:v>
                </c:pt>
                <c:pt idx="11">
                  <c:v>0.315</c:v>
                </c:pt>
                <c:pt idx="12">
                  <c:v>0.31430000000000002</c:v>
                </c:pt>
                <c:pt idx="13">
                  <c:v>0.29139999999999999</c:v>
                </c:pt>
                <c:pt idx="14">
                  <c:v>0.2797</c:v>
                </c:pt>
                <c:pt idx="15">
                  <c:v>0.26719999999999999</c:v>
                </c:pt>
                <c:pt idx="16">
                  <c:v>0.26240000000000002</c:v>
                </c:pt>
                <c:pt idx="17">
                  <c:v>0.25390000000000001</c:v>
                </c:pt>
                <c:pt idx="18">
                  <c:v>0.2445</c:v>
                </c:pt>
                <c:pt idx="19">
                  <c:v>0.2387</c:v>
                </c:pt>
                <c:pt idx="20">
                  <c:v>-0.22969999999999999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2-4F49-941F-52988BD9F7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12771935"/>
        <c:axId val="1912772415"/>
      </c:barChart>
      <c:catAx>
        <c:axId val="1912771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72415"/>
        <c:crosses val="autoZero"/>
        <c:auto val="1"/>
        <c:lblAlgn val="ctr"/>
        <c:lblOffset val="100"/>
        <c:noMultiLvlLbl val="0"/>
      </c:catAx>
      <c:valAx>
        <c:axId val="19127724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77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1805940</xdr:colOff>
      <xdr:row>8</xdr:row>
      <xdr:rowOff>177800</xdr:rowOff>
    </xdr:from>
    <xdr:to>
      <xdr:col>6</xdr:col>
      <xdr:colOff>1447800</xdr:colOff>
      <xdr:row>31</xdr:row>
      <xdr:rowOff>162560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30BD2E5-BD88-E2C9-FEBB-F61BD4E51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180340</xdr:rowOff>
    </xdr:from>
    <xdr:to>
      <xdr:col>1</xdr:col>
      <xdr:colOff>1562100</xdr:colOff>
      <xdr:row>31</xdr:row>
      <xdr:rowOff>152400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5A5A524-42A4-7EED-5732-130B81D2C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1793240</xdr:colOff>
      <xdr:row>33</xdr:row>
      <xdr:rowOff>172720</xdr:rowOff>
    </xdr:from>
    <xdr:to>
      <xdr:col>6</xdr:col>
      <xdr:colOff>1242060</xdr:colOff>
      <xdr:row>56</xdr:row>
      <xdr:rowOff>30480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3B391AB-9600-D99C-25FB-F05CA6B272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160020</xdr:colOff>
      <xdr:row>33</xdr:row>
      <xdr:rowOff>175260</xdr:rowOff>
    </xdr:from>
    <xdr:to>
      <xdr:col>1</xdr:col>
      <xdr:colOff>1508760</xdr:colOff>
      <xdr:row>56</xdr:row>
      <xdr:rowOff>38100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A17B4FE-AA4D-D741-1F8B-06E487471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B460DD-3769-4949-B148-1EC61F7B45D5}" name="Table1" displayName="Table1" ref="A60:D80" totalsRowShown="0" headerRowDxfId="27" headerRowBorderDxfId="26" tableBorderDxfId="25" totalsRowBorderDxfId="24">
  <autoFilter ref="A60:D80" xr:uid="{F2B460DD-3769-4949-B148-1EC61F7B45D5}"/>
  <tableColumns count="4">
    <tableColumn id="1" xr3:uid="{73EB538F-ECF4-4EB4-B108-9014D5C03369}" name="Largest Score Changes" dataDxfId="23"/>
    <tableColumn id="2" xr3:uid="{B5E9DDC0-CABE-4AE0-A386-D0A1705C9612}" name="Score 2024" dataDxfId="22"/>
    <tableColumn id="3" xr3:uid="{992ECB49-7E5E-4A86-8373-E48DF6DB0B22}" name="Score 2025" dataDxfId="21"/>
    <tableColumn id="4" xr3:uid="{9D83E17E-A4BA-4873-A3CA-9B10BCB3A53F}" name="Chang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DFBD0D-A243-4239-9840-FB75D430061E}" name="Table3" displayName="Table3" ref="A85:J220" totalsRowShown="0" headerRowDxfId="19" headerRowBorderDxfId="18" tableBorderDxfId="17" totalsRowBorderDxfId="16">
  <autoFilter ref="A85:J220" xr:uid="{15DFBD0D-A243-4239-9840-FB75D430061E}"/>
  <tableColumns count="10">
    <tableColumn id="1" xr3:uid="{1F2D748B-E48A-49BE-935B-F6FEAB9C10A8}" name="Country" dataDxfId="15">
      <calculatedColumnFormula>IF($B$3="All",WHR_Comparison_2024_vs_2025!A2,IF(WHR_Comparison_2024_vs_2025!A2=$B$3,WHR_Comparison_2024_vs_2025!A2,NA()))</calculatedColumnFormula>
    </tableColumn>
    <tableColumn id="2" xr3:uid="{5C34DE03-AE41-4398-B050-60D1CF975BC3}" name="Score 2024" dataDxfId="14">
      <calculatedColumnFormula>IFERROR(IF($B$3="All",WHR_Comparison_2024_vs_2025!B2,IF(WHR_Comparison_2024_vs_2025!A2=$B$3,WHR_Comparison_2024_vs_2025!B2,NA())),NA())</calculatedColumnFormula>
    </tableColumn>
    <tableColumn id="3" xr3:uid="{AB0BC679-0F84-4A4C-AB96-A737191BDD74}" name="Score 20242" dataDxfId="13">
      <calculatedColumnFormula>IFERROR(IF($B$3="All",WHR_Comparison_2024_vs_2025!I2,IF(WHR_Comparison_2024_vs_2025!A2=$B$3,WHR_Comparison_2024_vs_2025!I2,NA())),NA())</calculatedColumnFormula>
    </tableColumn>
    <tableColumn id="4" xr3:uid="{A689E60E-EBB9-4DEE-8CE7-EA02505A87E2}" name="Score Change" dataDxfId="12">
      <calculatedColumnFormula>IFERROR(IF($B$3="All",WHR_Comparison_2024_vs_2025!P2,IF(WHR_Comparison_2024_vs_2025!A2=$B$3,WHR_Comparison_2024_vs_2025!P2,NA())),NA())</calculatedColumnFormula>
    </tableColumn>
    <tableColumn id="6" xr3:uid="{E868BD5F-19E7-4B3E-8B28-B92CF6982130}" name="Country2" dataDxfId="11"/>
    <tableColumn id="7" xr3:uid="{7E21F1AE-672B-4EA1-8071-E17BE2E01348}" name="Happiness Score" dataDxfId="10"/>
    <tableColumn id="9" xr3:uid="{CA5FABF1-64FB-4AC2-B544-AC6B05D2E0CC}" name="GDP" dataDxfId="9">
      <calculatedColumnFormula>IFERROR(IF($B$3="All",IF($E$3="2024",WHR_Comparison_2024_vs_2025!C2,WHR_Comparison_2024_vs_2025!J2),IF(WHR_Comparison_2024_vs_2025!A2=$B$3,IF($E$3="2024",WHR_Comparison_2024_vs_2025!C2,WHR_Comparison_2024_vs_2025!J2),NA())),NA())</calculatedColumnFormula>
    </tableColumn>
    <tableColumn id="10" xr3:uid="{91539259-5CA4-4C87-9F5D-06F2828E2029}" name="Happiness Score2" dataDxfId="8">
      <calculatedColumnFormula>IFERROR(IF($B$3="All",IF($E$3="2024",WHR_Comparison_2024_vs_2025!B2,WHR_Comparison_2024_vs_2025!I2),IF(WHR_Comparison_2024_vs_2025!A2=$B$3,IF($E$3="2024",WHR_Comparison_2024_vs_2025!B2,WHR_Comparison_2024_vs_2025!I2),NA())),NA())</calculatedColumnFormula>
    </tableColumn>
    <tableColumn id="12" xr3:uid="{0915DA2A-0D72-4C1C-86C5-EE5851C3D735}" name="Freedom" dataDxfId="7">
      <calculatedColumnFormula>IFERROR(IF($B$3="All",IF($E$3="2024",WHR_Comparison_2024_vs_2025!F2,WHR_Comparison_2024_vs_2025!M2),IF(WHR_Comparison_2024_vs_2025!A2=$B$3,IF($E$3="2024",WHR_Comparison_2024_vs_2025!F2,WHR_Comparison_2024_vs_2025!M2),NA())),NA())</calculatedColumnFormula>
    </tableColumn>
    <tableColumn id="13" xr3:uid="{766EDD23-254D-424A-B0AD-0444DAFCC1B2}" name="Happiness Score3" dataDxfId="6">
      <calculatedColumnFormula>IFERROR(IF($B$3="All",IF($E$3="2024",WHR_Comparison_2024_vs_2025!B2,WHR_Comparison_2024_vs_2025!I2),IF(WHR_Comparison_2024_vs_2025!A2=$B$3,IF($E$3="2024",WHR_Comparison_2024_vs_2025!B2,WHR_Comparison_2024_vs_2025!I2),NA())),NA())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041136-F3C2-4659-8B9F-881678706344}" name="Table4" displayName="Table4" ref="L85:M106" totalsRowShown="0" headerRowDxfId="5" headerRowBorderDxfId="4" tableBorderDxfId="3" totalsRowBorderDxfId="2">
  <autoFilter ref="L85:M106" xr:uid="{19041136-F3C2-4659-8B9F-881678706344}"/>
  <tableColumns count="2">
    <tableColumn id="1" xr3:uid="{C5D0FCBF-D754-42E1-8E28-CEDB9BADA832}" name="Country" dataDxfId="1">
      <calculatedColumnFormula>A60</calculatedColumnFormula>
    </tableColumn>
    <tableColumn id="2" xr3:uid="{2196235E-F5CF-4F9D-8ADE-4947F445A55F}" name="Score Change" dataDxfId="0">
      <calculatedColumnFormula>D60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A3471E8-5E4D-49ED-A2D0-0EDD2FFFE37B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404389ec-f8db-4a35-984f-ccb28afc9afb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3B92007D-836B-4F29-95E7-ABE55427A94C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96437-E818-49F5-89E8-84553807C112}">
  <dimension ref="A1:P136"/>
  <sheetViews>
    <sheetView workbookViewId="0">
      <selection activeCell="D22" sqref="D22"/>
    </sheetView>
  </sheetViews>
  <sheetFormatPr defaultRowHeight="14.4" x14ac:dyDescent="0.3"/>
  <cols>
    <col min="1" max="1" width="21.88671875" bestFit="1" customWidth="1"/>
    <col min="2" max="2" width="24.77734375" bestFit="1" customWidth="1"/>
    <col min="3" max="3" width="12" bestFit="1" customWidth="1"/>
    <col min="4" max="4" width="20.109375" bestFit="1" customWidth="1"/>
    <col min="5" max="5" width="12.6640625" bestFit="1" customWidth="1"/>
    <col min="6" max="6" width="14.88671875" bestFit="1" customWidth="1"/>
    <col min="7" max="7" width="16.88671875" bestFit="1" customWidth="1"/>
    <col min="8" max="8" width="10.6640625" bestFit="1" customWidth="1"/>
    <col min="9" max="9" width="22" bestFit="1" customWidth="1"/>
    <col min="10" max="10" width="12" bestFit="1" customWidth="1"/>
    <col min="11" max="11" width="20.109375" bestFit="1" customWidth="1"/>
    <col min="12" max="12" width="12.6640625" bestFit="1" customWidth="1"/>
    <col min="13" max="13" width="14.88671875" bestFit="1" customWidth="1"/>
    <col min="14" max="14" width="16.88671875" bestFit="1" customWidth="1"/>
    <col min="15" max="15" width="10.6640625" bestFit="1" customWidth="1"/>
    <col min="16" max="16" width="14.109375" bestFit="1" customWidth="1"/>
  </cols>
  <sheetData>
    <row r="1" spans="1:16" ht="18" x14ac:dyDescent="0.35">
      <c r="A1" s="36" t="s">
        <v>183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</row>
    <row r="2" spans="1:16" ht="15.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ht="14.4" customHeight="1" x14ac:dyDescent="0.3">
      <c r="A3" s="2" t="s">
        <v>16</v>
      </c>
      <c r="B3" s="2">
        <v>7.8042001724243102</v>
      </c>
      <c r="C3" s="2">
        <v>1.8883804082870399</v>
      </c>
      <c r="D3" s="2">
        <v>1.58489966392517</v>
      </c>
      <c r="E3" s="2">
        <v>0.534573674201965</v>
      </c>
      <c r="F3" s="2">
        <v>0.77150994539260798</v>
      </c>
      <c r="G3" s="2">
        <v>0.53529858589172297</v>
      </c>
      <c r="H3" s="2">
        <v>2024</v>
      </c>
      <c r="I3" s="2">
        <v>7.7406997680664</v>
      </c>
      <c r="J3" s="2">
        <v>1.8440535068511901</v>
      </c>
      <c r="K3" s="2">
        <v>1.57236683368682</v>
      </c>
      <c r="L3" s="2">
        <v>0.69479256868362405</v>
      </c>
      <c r="M3" s="2">
        <v>0.85929417610168402</v>
      </c>
      <c r="N3" s="2">
        <v>0.54615777730941695</v>
      </c>
      <c r="O3" s="2">
        <v>2025</v>
      </c>
      <c r="P3" s="2">
        <v>-6.3500000000000001E-2</v>
      </c>
    </row>
    <row r="4" spans="1:16" ht="14.4" customHeight="1" x14ac:dyDescent="0.3">
      <c r="A4" s="2" t="s">
        <v>17</v>
      </c>
      <c r="B4" s="2">
        <v>7.5864000320434499</v>
      </c>
      <c r="C4" s="2">
        <v>1.9494055509567201</v>
      </c>
      <c r="D4" s="2">
        <v>1.54787480831146</v>
      </c>
      <c r="E4" s="2">
        <v>0.53730249404907204</v>
      </c>
      <c r="F4" s="2">
        <v>0.73441588878631503</v>
      </c>
      <c r="G4" s="2">
        <v>0.52522116899490301</v>
      </c>
      <c r="H4" s="2">
        <v>2024</v>
      </c>
      <c r="I4" s="2">
        <v>7.5826997756957999</v>
      </c>
      <c r="J4" s="2">
        <v>1.90779769420623</v>
      </c>
      <c r="K4" s="2">
        <v>1.5203613042831401</v>
      </c>
      <c r="L4" s="2">
        <v>0.69894444942474299</v>
      </c>
      <c r="M4" s="2">
        <v>0.82273989915847701</v>
      </c>
      <c r="N4" s="2">
        <v>0.54841285943984897</v>
      </c>
      <c r="O4" s="2">
        <v>2025</v>
      </c>
      <c r="P4" s="2">
        <v>-3.7000000000000002E-3</v>
      </c>
    </row>
    <row r="5" spans="1:16" ht="14.4" customHeight="1" x14ac:dyDescent="0.3">
      <c r="A5" s="2" t="s">
        <v>18</v>
      </c>
      <c r="B5" s="2">
        <v>7.5296001434326101</v>
      </c>
      <c r="C5" s="2">
        <v>1.9255076646804801</v>
      </c>
      <c r="D5" s="2">
        <v>1.6196664571762001</v>
      </c>
      <c r="E5" s="2">
        <v>0.55909639596938998</v>
      </c>
      <c r="F5" s="2">
        <v>0.73816370964050204</v>
      </c>
      <c r="G5" s="2">
        <v>0.18711878359317699</v>
      </c>
      <c r="H5" s="2">
        <v>2024</v>
      </c>
      <c r="I5" s="2">
        <v>7.5251002311706499</v>
      </c>
      <c r="J5" s="2">
        <v>1.8807179927825901</v>
      </c>
      <c r="K5" s="2">
        <v>1.6165254116058301</v>
      </c>
      <c r="L5" s="2">
        <v>0.71834468841552701</v>
      </c>
      <c r="M5" s="2">
        <v>0.81850868463516202</v>
      </c>
      <c r="N5" s="2">
        <v>0.18247270584106401</v>
      </c>
      <c r="O5" s="2">
        <v>2025</v>
      </c>
      <c r="P5" s="2">
        <v>-4.4999999999999997E-3</v>
      </c>
    </row>
    <row r="6" spans="1:16" ht="14.4" customHeight="1" x14ac:dyDescent="0.3">
      <c r="A6" s="2" t="s">
        <v>19</v>
      </c>
      <c r="B6" s="2">
        <v>7.47289991378784</v>
      </c>
      <c r="C6" s="2">
        <v>1.8333979845046899</v>
      </c>
      <c r="D6" s="2">
        <v>1.52067387104034</v>
      </c>
      <c r="E6" s="2">
        <v>0.57673001289367598</v>
      </c>
      <c r="F6" s="2">
        <v>0.56851828098297097</v>
      </c>
      <c r="G6" s="2">
        <v>0.15829205513000399</v>
      </c>
      <c r="H6" s="2">
        <v>2024</v>
      </c>
      <c r="I6" s="2">
        <v>7.3411002159118599</v>
      </c>
      <c r="J6" s="2">
        <v>1.80293357372283</v>
      </c>
      <c r="K6" s="2">
        <v>1.5127928256988501</v>
      </c>
      <c r="L6" s="2">
        <v>0.73981618881225497</v>
      </c>
      <c r="M6" s="2">
        <v>0.641462862491607</v>
      </c>
      <c r="N6" s="2">
        <v>0.19282267987728099</v>
      </c>
      <c r="O6" s="2">
        <v>2025</v>
      </c>
      <c r="P6" s="2">
        <v>-0.1318</v>
      </c>
    </row>
    <row r="7" spans="1:16" ht="14.4" customHeight="1" x14ac:dyDescent="0.3">
      <c r="A7" s="2" t="s">
        <v>20</v>
      </c>
      <c r="B7" s="2">
        <v>7.4029998779296804</v>
      </c>
      <c r="C7" s="2">
        <v>1.9422738552093499</v>
      </c>
      <c r="D7" s="2">
        <v>1.4882279634475699</v>
      </c>
      <c r="E7" s="2">
        <v>0.54547303915023804</v>
      </c>
      <c r="F7" s="2">
        <v>0.67232722043991</v>
      </c>
      <c r="G7" s="2">
        <v>0.39406165480613697</v>
      </c>
      <c r="H7" s="2">
        <v>2024</v>
      </c>
      <c r="I7" s="2">
        <v>7.3193998336791903</v>
      </c>
      <c r="J7" s="2">
        <v>1.90065670013427</v>
      </c>
      <c r="K7" s="2">
        <v>1.46204698085784</v>
      </c>
      <c r="L7" s="2">
        <v>0.705882728099823</v>
      </c>
      <c r="M7" s="2">
        <v>0.72508126497268599</v>
      </c>
      <c r="N7" s="2">
        <v>0.37242096662521301</v>
      </c>
      <c r="O7" s="2">
        <v>2025</v>
      </c>
      <c r="P7" s="2">
        <v>-8.3599999999999994E-2</v>
      </c>
    </row>
    <row r="8" spans="1:16" ht="14.4" customHeight="1" x14ac:dyDescent="0.3">
      <c r="A8" s="2" t="s">
        <v>21</v>
      </c>
      <c r="B8" s="2">
        <v>7.3951997756957999</v>
      </c>
      <c r="C8" s="2">
        <v>1.9209501743316599</v>
      </c>
      <c r="D8" s="2">
        <v>1.5103290081024101</v>
      </c>
      <c r="E8" s="2">
        <v>0.56182473897933904</v>
      </c>
      <c r="F8" s="2">
        <v>0.75362920761108398</v>
      </c>
      <c r="G8" s="2">
        <v>0.52046912908553999</v>
      </c>
      <c r="H8" s="2">
        <v>2024</v>
      </c>
      <c r="I8" s="2">
        <v>7.3440999984741202</v>
      </c>
      <c r="J8" s="2">
        <v>1.87814557552337</v>
      </c>
      <c r="K8" s="2">
        <v>1.50082612037658</v>
      </c>
      <c r="L8" s="2">
        <v>0.72387146949768</v>
      </c>
      <c r="M8" s="2">
        <v>0.83826935291290205</v>
      </c>
      <c r="N8" s="2">
        <v>0.523795485496521</v>
      </c>
      <c r="O8" s="2">
        <v>2025</v>
      </c>
      <c r="P8" s="2">
        <v>-5.11E-2</v>
      </c>
    </row>
    <row r="9" spans="1:16" ht="14.4" customHeight="1" x14ac:dyDescent="0.3">
      <c r="A9" s="2" t="s">
        <v>22</v>
      </c>
      <c r="B9" s="2">
        <v>7.2400999069213796</v>
      </c>
      <c r="C9" s="2">
        <v>2.0218031406402499</v>
      </c>
      <c r="D9" s="2">
        <v>1.4628159999847401</v>
      </c>
      <c r="E9" s="2">
        <v>0.58225435018539395</v>
      </c>
      <c r="F9" s="2">
        <v>0.67791533470153797</v>
      </c>
      <c r="G9" s="2">
        <v>0.47470021247863697</v>
      </c>
      <c r="H9" s="2">
        <v>2024</v>
      </c>
      <c r="I9" s="2">
        <v>7.0602002143859801</v>
      </c>
      <c r="J9" s="2">
        <v>1.9702684879302901</v>
      </c>
      <c r="K9" s="2">
        <v>1.42493224143981</v>
      </c>
      <c r="L9" s="2">
        <v>0.74674350023269598</v>
      </c>
      <c r="M9" s="2">
        <v>0.75915956497192305</v>
      </c>
      <c r="N9" s="2">
        <v>0.497612655162811</v>
      </c>
      <c r="O9" s="2">
        <v>2025</v>
      </c>
      <c r="P9" s="2">
        <v>-0.1799</v>
      </c>
    </row>
    <row r="10" spans="1:16" ht="14.4" customHeight="1" x14ac:dyDescent="0.3">
      <c r="A10" s="2" t="s">
        <v>23</v>
      </c>
      <c r="B10" s="2">
        <v>7.2279000282287598</v>
      </c>
      <c r="C10" s="2">
        <v>2.1996643543243399</v>
      </c>
      <c r="D10" s="2">
        <v>1.35687851905822</v>
      </c>
      <c r="E10" s="2">
        <v>0.54887843132018999</v>
      </c>
      <c r="F10" s="2">
        <v>0.70967185497283902</v>
      </c>
      <c r="G10" s="2">
        <v>0.41837957501411399</v>
      </c>
      <c r="H10" s="2">
        <v>2024</v>
      </c>
      <c r="I10" s="2">
        <v>7.1219000816345197</v>
      </c>
      <c r="J10" s="2">
        <v>2.1405189037322998</v>
      </c>
      <c r="K10" s="2">
        <v>1.354625582695</v>
      </c>
      <c r="L10" s="2">
        <v>0.70760393142700195</v>
      </c>
      <c r="M10" s="2">
        <v>0.80121308565139704</v>
      </c>
      <c r="N10" s="2">
        <v>0.43241101503372098</v>
      </c>
      <c r="O10" s="2">
        <v>2025</v>
      </c>
      <c r="P10" s="2">
        <v>-0.106</v>
      </c>
    </row>
    <row r="11" spans="1:16" ht="14.4" customHeight="1" x14ac:dyDescent="0.3">
      <c r="A11" s="2" t="s">
        <v>24</v>
      </c>
      <c r="B11" s="2">
        <v>7.1229000091552699</v>
      </c>
      <c r="C11" s="2">
        <v>1.8417042493820099</v>
      </c>
      <c r="D11" s="2">
        <v>1.54354560375213</v>
      </c>
      <c r="E11" s="2">
        <v>0.51277792453765803</v>
      </c>
      <c r="F11" s="2">
        <v>0.67192691564559903</v>
      </c>
      <c r="G11" s="2">
        <v>0.47122070193290699</v>
      </c>
      <c r="H11" s="2">
        <v>2024</v>
      </c>
      <c r="I11" s="2">
        <v>7.0292000770568803</v>
      </c>
      <c r="J11" s="2">
        <v>1.8103488683700499</v>
      </c>
      <c r="K11" s="2">
        <v>1.5269402265548699</v>
      </c>
      <c r="L11" s="2">
        <v>0.67262148857116699</v>
      </c>
      <c r="M11" s="2">
        <v>0.745547175407409</v>
      </c>
      <c r="N11" s="2">
        <v>0.48021689057350098</v>
      </c>
      <c r="O11" s="2">
        <v>2025</v>
      </c>
      <c r="P11" s="2">
        <v>-9.3700000000000006E-2</v>
      </c>
    </row>
    <row r="12" spans="1:16" ht="14.4" customHeight="1" x14ac:dyDescent="0.3">
      <c r="A12" s="2" t="s">
        <v>25</v>
      </c>
      <c r="B12" s="2">
        <v>7.0973000526428196</v>
      </c>
      <c r="C12" s="2">
        <v>1.92671811580657</v>
      </c>
      <c r="D12" s="2">
        <v>1.38197469711303</v>
      </c>
      <c r="E12" s="2">
        <v>0.53457516431808405</v>
      </c>
      <c r="F12" s="2">
        <v>0.62956058979034402</v>
      </c>
      <c r="G12" s="2">
        <v>0.30965307354927002</v>
      </c>
      <c r="H12" s="2">
        <v>2024</v>
      </c>
      <c r="I12" s="2">
        <v>6.9046998023986799</v>
      </c>
      <c r="J12" s="2">
        <v>1.88526535034179</v>
      </c>
      <c r="K12" s="2">
        <v>1.3363960981369001</v>
      </c>
      <c r="L12" s="2">
        <v>0.69617384672164895</v>
      </c>
      <c r="M12" s="2">
        <v>0.702744901180267</v>
      </c>
      <c r="N12" s="2">
        <v>0.30455476045608498</v>
      </c>
      <c r="O12" s="2">
        <v>2025</v>
      </c>
      <c r="P12" s="2">
        <v>-0.19259999999999999</v>
      </c>
    </row>
    <row r="13" spans="1:16" ht="14.4" customHeight="1" x14ac:dyDescent="0.3">
      <c r="A13" s="2" t="s">
        <v>26</v>
      </c>
      <c r="B13" s="2">
        <v>7.09460020065307</v>
      </c>
      <c r="C13" s="2">
        <v>1.8987950086593599</v>
      </c>
      <c r="D13" s="2">
        <v>1.49674344062805</v>
      </c>
      <c r="E13" s="2">
        <v>0.53184759616851796</v>
      </c>
      <c r="F13" s="2">
        <v>0.67675119638442904</v>
      </c>
      <c r="G13" s="2">
        <v>0.310268074274063</v>
      </c>
      <c r="H13" s="2">
        <v>2024</v>
      </c>
      <c r="I13" s="2">
        <v>7.0569000244140598</v>
      </c>
      <c r="J13" s="2">
        <v>1.85425841808319</v>
      </c>
      <c r="K13" s="2">
        <v>1.4610912799835201</v>
      </c>
      <c r="L13" s="2">
        <v>0.69201797246932895</v>
      </c>
      <c r="M13" s="2">
        <v>0.75627064704894997</v>
      </c>
      <c r="N13" s="2">
        <v>0.32335191965103099</v>
      </c>
      <c r="O13" s="2">
        <v>2025</v>
      </c>
      <c r="P13" s="2">
        <v>-3.7699999999999997E-2</v>
      </c>
    </row>
    <row r="14" spans="1:16" ht="14.4" customHeight="1" x14ac:dyDescent="0.3">
      <c r="A14" s="2" t="s">
        <v>27</v>
      </c>
      <c r="B14" s="2">
        <v>6.9607000350952104</v>
      </c>
      <c r="C14" s="2">
        <v>1.8814388513564999</v>
      </c>
      <c r="D14" s="2">
        <v>1.4839185476303101</v>
      </c>
      <c r="E14" s="2">
        <v>0.54138660430908203</v>
      </c>
      <c r="F14" s="2">
        <v>0.65581697225570601</v>
      </c>
      <c r="G14" s="2">
        <v>0.36449259519576999</v>
      </c>
      <c r="H14" s="2">
        <v>2024</v>
      </c>
      <c r="I14" s="2">
        <v>6.8996000289916903</v>
      </c>
      <c r="J14" s="2">
        <v>1.83972072601318</v>
      </c>
      <c r="K14" s="2">
        <v>1.45863044261932</v>
      </c>
      <c r="L14" s="2">
        <v>0.70102101564407304</v>
      </c>
      <c r="M14" s="2">
        <v>0.73007637262344305</v>
      </c>
      <c r="N14" s="2">
        <v>0.36821934580802901</v>
      </c>
      <c r="O14" s="2">
        <v>2025</v>
      </c>
      <c r="P14" s="2">
        <v>-6.1100000000000002E-2</v>
      </c>
    </row>
    <row r="15" spans="1:16" ht="14.4" customHeight="1" x14ac:dyDescent="0.3">
      <c r="A15" s="2" t="s">
        <v>28</v>
      </c>
      <c r="B15" s="2">
        <v>6.9107999801635698</v>
      </c>
      <c r="C15" s="2">
        <v>2.1521122455596902</v>
      </c>
      <c r="D15" s="2">
        <v>1.4247467517852701</v>
      </c>
      <c r="E15" s="2">
        <v>0.53865969181060702</v>
      </c>
      <c r="F15" s="2">
        <v>0.65570110082626298</v>
      </c>
      <c r="G15" s="2">
        <v>0.409086793661117</v>
      </c>
      <c r="H15" s="2">
        <v>2024</v>
      </c>
      <c r="I15" s="2">
        <v>6.8379998207092196</v>
      </c>
      <c r="J15" s="2">
        <v>2.1288285255432098</v>
      </c>
      <c r="K15" s="2">
        <v>1.3898677825927701</v>
      </c>
      <c r="L15" s="2">
        <v>0.69963717460632302</v>
      </c>
      <c r="M15" s="2">
        <v>0.75762069225311202</v>
      </c>
      <c r="N15" s="2">
        <v>0.41814193129539401</v>
      </c>
      <c r="O15" s="2">
        <v>2025</v>
      </c>
      <c r="P15" s="2">
        <v>-7.2800000000000004E-2</v>
      </c>
    </row>
    <row r="16" spans="1:16" ht="14.4" customHeight="1" x14ac:dyDescent="0.3">
      <c r="A16" s="2" t="s">
        <v>29</v>
      </c>
      <c r="B16" s="2">
        <v>6.8937001228332502</v>
      </c>
      <c r="C16" s="2">
        <v>1.98027980327606</v>
      </c>
      <c r="D16" s="2">
        <v>1.45958995819091</v>
      </c>
      <c r="E16" s="2">
        <v>0.39017334580421398</v>
      </c>
      <c r="F16" s="2">
        <v>0.55736982822418202</v>
      </c>
      <c r="G16" s="2">
        <v>0.172258466482162</v>
      </c>
      <c r="H16" s="2">
        <v>2024</v>
      </c>
      <c r="I16" s="2">
        <v>6.7248001098632804</v>
      </c>
      <c r="J16" s="2">
        <v>1.9388630390167201</v>
      </c>
      <c r="K16" s="2">
        <v>1.39173543453216</v>
      </c>
      <c r="L16" s="2">
        <v>0.54240137338638295</v>
      </c>
      <c r="M16" s="2">
        <v>0.58635401725768999</v>
      </c>
      <c r="N16" s="2">
        <v>0.16915079951286299</v>
      </c>
      <c r="O16" s="2">
        <v>2025</v>
      </c>
      <c r="P16" s="2">
        <v>-0.16889999999999999</v>
      </c>
    </row>
    <row r="17" spans="1:16" ht="14.4" customHeight="1" x14ac:dyDescent="0.3">
      <c r="A17" s="2" t="s">
        <v>30</v>
      </c>
      <c r="B17" s="2">
        <v>6.8917999267578098</v>
      </c>
      <c r="C17" s="2">
        <v>1.91943895816802</v>
      </c>
      <c r="D17" s="2">
        <v>1.40096783638</v>
      </c>
      <c r="E17" s="2">
        <v>0.53865635395050004</v>
      </c>
      <c r="F17" s="2">
        <v>0.61773604154586703</v>
      </c>
      <c r="G17" s="2">
        <v>0.36495622992515497</v>
      </c>
      <c r="H17" s="2">
        <v>2024</v>
      </c>
      <c r="I17" s="2">
        <v>6.7185001373290998</v>
      </c>
      <c r="J17" s="2">
        <v>1.87133240699768</v>
      </c>
      <c r="K17" s="2">
        <v>1.3896832466125399</v>
      </c>
      <c r="L17" s="2">
        <v>0.70241111516952504</v>
      </c>
      <c r="M17" s="2">
        <v>0.69984734058380105</v>
      </c>
      <c r="N17" s="2">
        <v>0.367814481258392</v>
      </c>
      <c r="O17" s="2">
        <v>2025</v>
      </c>
      <c r="P17" s="2">
        <v>-0.17330000000000001</v>
      </c>
    </row>
    <row r="18" spans="1:16" ht="14.4" customHeight="1" x14ac:dyDescent="0.3">
      <c r="A18" s="2" t="s">
        <v>31</v>
      </c>
      <c r="B18" s="2">
        <v>6.8590998649597097</v>
      </c>
      <c r="C18" s="2">
        <v>1.90687823295593</v>
      </c>
      <c r="D18" s="2">
        <v>1.4487503767013501</v>
      </c>
      <c r="E18" s="2">
        <v>0.52773731946945102</v>
      </c>
      <c r="F18" s="2">
        <v>0.59029251337051303</v>
      </c>
      <c r="G18" s="2">
        <v>0.272551089525222</v>
      </c>
      <c r="H18" s="2">
        <v>2024</v>
      </c>
      <c r="I18" s="2">
        <v>6.8941998481750399</v>
      </c>
      <c r="J18" s="2">
        <v>1.86804103851318</v>
      </c>
      <c r="K18" s="2">
        <v>1.44042325019836</v>
      </c>
      <c r="L18" s="2">
        <v>0.68993294239044101</v>
      </c>
      <c r="M18" s="2">
        <v>0.72876101732253995</v>
      </c>
      <c r="N18" s="2">
        <v>0.31080135703086798</v>
      </c>
      <c r="O18" s="2">
        <v>2025</v>
      </c>
      <c r="P18" s="2">
        <v>3.5099999999999999E-2</v>
      </c>
    </row>
    <row r="19" spans="1:16" ht="14.4" customHeight="1" x14ac:dyDescent="0.3">
      <c r="A19" s="2" t="s">
        <v>32</v>
      </c>
      <c r="B19" s="2">
        <v>6.8452000617980904</v>
      </c>
      <c r="C19" s="2">
        <v>1.82346880435943</v>
      </c>
      <c r="D19" s="2">
        <v>1.5439990758895801</v>
      </c>
      <c r="E19" s="2">
        <v>0.47734886407852101</v>
      </c>
      <c r="F19" s="2">
        <v>0.69313949346542303</v>
      </c>
      <c r="G19" s="2">
        <v>5.02391494810581E-2</v>
      </c>
      <c r="H19" s="2">
        <v>2024</v>
      </c>
      <c r="I19" s="2">
        <v>6.8218002319335902</v>
      </c>
      <c r="J19" s="2">
        <v>1.78319144248962</v>
      </c>
      <c r="K19" s="2">
        <v>1.5110107660293499</v>
      </c>
      <c r="L19" s="2">
        <v>0.637978196144104</v>
      </c>
      <c r="M19" s="2">
        <v>0.78650104999542203</v>
      </c>
      <c r="N19" s="2">
        <v>6.7852526903152396E-2</v>
      </c>
      <c r="O19" s="2">
        <v>2025</v>
      </c>
      <c r="P19" s="2">
        <v>-2.3400000000000001E-2</v>
      </c>
    </row>
    <row r="20" spans="1:16" ht="14.4" customHeight="1" x14ac:dyDescent="0.3">
      <c r="A20" s="2" t="s">
        <v>33</v>
      </c>
      <c r="B20" s="2">
        <v>6.7955999374389604</v>
      </c>
      <c r="C20" s="2">
        <v>1.8569034337997401</v>
      </c>
      <c r="D20" s="2">
        <v>1.3662347793579099</v>
      </c>
      <c r="E20" s="2">
        <v>0.51141428947448697</v>
      </c>
      <c r="F20" s="2">
        <v>0.62617295980453402</v>
      </c>
      <c r="G20" s="2">
        <v>0.34023383259773199</v>
      </c>
      <c r="H20" s="2">
        <v>2024</v>
      </c>
      <c r="I20" s="2">
        <v>6.7490000724792401</v>
      </c>
      <c r="J20" s="2">
        <v>1.82221543788909</v>
      </c>
      <c r="K20" s="2">
        <v>1.3261128664016699</v>
      </c>
      <c r="L20" s="2">
        <v>0.671927690505981</v>
      </c>
      <c r="M20" s="2">
        <v>0.71310406923294001</v>
      </c>
      <c r="N20" s="2">
        <v>0.35134166479110701</v>
      </c>
      <c r="O20" s="2">
        <v>2025</v>
      </c>
      <c r="P20" s="2">
        <v>-4.6600000000000003E-2</v>
      </c>
    </row>
    <row r="21" spans="1:16" ht="14.4" customHeight="1" x14ac:dyDescent="0.3">
      <c r="A21" s="2" t="s">
        <v>34</v>
      </c>
      <c r="B21" s="2">
        <v>6.76300001144409</v>
      </c>
      <c r="C21" s="2">
        <v>1.8079818487167301</v>
      </c>
      <c r="D21" s="2">
        <v>1.51057648658752</v>
      </c>
      <c r="E21" s="2">
        <v>0.43231698870658802</v>
      </c>
      <c r="F21" s="2">
        <v>0.487325608730316</v>
      </c>
      <c r="G21" s="2">
        <v>8.8819056749343803E-2</v>
      </c>
      <c r="H21" s="2">
        <v>2024</v>
      </c>
      <c r="I21" s="2">
        <v>6.81750011444091</v>
      </c>
      <c r="J21" s="2">
        <v>1.7656822204589799</v>
      </c>
      <c r="K21" s="2">
        <v>1.4535820484161299</v>
      </c>
      <c r="L21" s="2">
        <v>0.59839785099029497</v>
      </c>
      <c r="M21" s="2">
        <v>0.53268539905548096</v>
      </c>
      <c r="N21" s="2">
        <v>0.115843594074249</v>
      </c>
      <c r="O21" s="2">
        <v>2025</v>
      </c>
      <c r="P21" s="2">
        <v>5.45E-2</v>
      </c>
    </row>
    <row r="22" spans="1:16" ht="14.4" customHeight="1" x14ac:dyDescent="0.3">
      <c r="A22" s="2" t="s">
        <v>35</v>
      </c>
      <c r="B22" s="2">
        <v>6.6613001823425204</v>
      </c>
      <c r="C22" s="2">
        <v>1.8556448221206601</v>
      </c>
      <c r="D22" s="2">
        <v>1.4334245920181199</v>
      </c>
      <c r="E22" s="2">
        <v>0.56590908765792802</v>
      </c>
      <c r="F22" s="2">
        <v>0.58164525032043402</v>
      </c>
      <c r="G22" s="2">
        <v>0.26965373754501298</v>
      </c>
      <c r="H22" s="2">
        <v>2024</v>
      </c>
      <c r="I22" s="2">
        <v>6.6090002059936497</v>
      </c>
      <c r="J22" s="2">
        <v>1.81834292411804</v>
      </c>
      <c r="K22" s="2">
        <v>1.3481022119521999</v>
      </c>
      <c r="L22" s="2">
        <v>0.72734665870666504</v>
      </c>
      <c r="M22" s="2">
        <v>0.64982038736343295</v>
      </c>
      <c r="N22" s="2">
        <v>0.280878126621246</v>
      </c>
      <c r="O22" s="2">
        <v>2025</v>
      </c>
      <c r="P22" s="2">
        <v>-5.2299999999999999E-2</v>
      </c>
    </row>
    <row r="23" spans="1:16" ht="14.4" customHeight="1" x14ac:dyDescent="0.3">
      <c r="A23" s="2" t="s">
        <v>36</v>
      </c>
      <c r="B23" s="2">
        <v>6.6498999595642001</v>
      </c>
      <c r="C23" s="2">
        <v>1.8153171539306601</v>
      </c>
      <c r="D23" s="2">
        <v>1.53881275653839</v>
      </c>
      <c r="E23" s="2">
        <v>0.53189957141876198</v>
      </c>
      <c r="F23" s="2">
        <v>0.70746552944183305</v>
      </c>
      <c r="G23" s="2">
        <v>0.113058045506477</v>
      </c>
      <c r="H23" s="2">
        <v>2024</v>
      </c>
      <c r="I23" s="2">
        <v>6.7432999610900799</v>
      </c>
      <c r="J23" s="2">
        <v>1.7855999469757</v>
      </c>
      <c r="K23" s="2">
        <v>1.50220370292663</v>
      </c>
      <c r="L23" s="2">
        <v>0.69478285312652499</v>
      </c>
      <c r="M23" s="2">
        <v>0.78949558734893799</v>
      </c>
      <c r="N23" s="2">
        <v>0.13059186935424799</v>
      </c>
      <c r="O23" s="2">
        <v>2025</v>
      </c>
      <c r="P23" s="2">
        <v>9.3399999999999997E-2</v>
      </c>
    </row>
    <row r="24" spans="1:16" ht="14.4" customHeight="1" x14ac:dyDescent="0.3">
      <c r="A24" s="2" t="s">
        <v>37</v>
      </c>
      <c r="B24" s="2">
        <v>6.6085000038146902</v>
      </c>
      <c r="C24" s="2">
        <v>1.58695769309997</v>
      </c>
      <c r="D24" s="2">
        <v>1.3395427465438801</v>
      </c>
      <c r="E24" s="2">
        <v>0.50324016809463501</v>
      </c>
      <c r="F24" s="2">
        <v>0.68316715955734197</v>
      </c>
      <c r="G24" s="2">
        <v>0.115519121289253</v>
      </c>
      <c r="H24" s="2">
        <v>2024</v>
      </c>
      <c r="I24" s="2">
        <v>6.95539999008178</v>
      </c>
      <c r="J24" s="2">
        <v>1.5606451034545801</v>
      </c>
      <c r="K24" s="2">
        <v>1.3730103969573899</v>
      </c>
      <c r="L24" s="2">
        <v>0.66084557771682695</v>
      </c>
      <c r="M24" s="2">
        <v>0.796511530876159</v>
      </c>
      <c r="N24" s="2">
        <v>0.12294854223728099</v>
      </c>
      <c r="O24" s="2">
        <v>2025</v>
      </c>
      <c r="P24" s="2">
        <v>0.34689999999999999</v>
      </c>
    </row>
    <row r="25" spans="1:16" ht="14.4" customHeight="1" x14ac:dyDescent="0.3">
      <c r="A25" s="2" t="s">
        <v>38</v>
      </c>
      <c r="B25" s="2">
        <v>6.5890998840331996</v>
      </c>
      <c r="C25" s="2">
        <v>1.7259292602539</v>
      </c>
      <c r="D25" s="2">
        <v>1.27973651885986</v>
      </c>
      <c r="E25" s="2">
        <v>0.42288589477539001</v>
      </c>
      <c r="F25" s="2">
        <v>0.63099420070648105</v>
      </c>
      <c r="G25" s="2">
        <v>0</v>
      </c>
      <c r="H25" s="2">
        <v>2024</v>
      </c>
      <c r="I25" s="2">
        <v>6.4911999702453604</v>
      </c>
      <c r="J25" s="2">
        <v>1.69903004169464</v>
      </c>
      <c r="K25" s="2">
        <v>1.23572254180908</v>
      </c>
      <c r="L25" s="2">
        <v>0.58258247375488204</v>
      </c>
      <c r="M25" s="2">
        <v>0.71656727790832497</v>
      </c>
      <c r="N25" s="2">
        <v>6.3170590437948704E-3</v>
      </c>
      <c r="O25" s="2">
        <v>2025</v>
      </c>
      <c r="P25" s="2">
        <v>-9.7900000000000001E-2</v>
      </c>
    </row>
    <row r="26" spans="1:16" ht="14.4" customHeight="1" x14ac:dyDescent="0.3">
      <c r="A26" s="2" t="s">
        <v>39</v>
      </c>
      <c r="B26" s="2">
        <v>6.5866999626159597</v>
      </c>
      <c r="C26" s="2">
        <v>2.1679413318634002</v>
      </c>
      <c r="D26" s="2">
        <v>1.3544509410858101</v>
      </c>
      <c r="E26" s="2">
        <v>0.60677760839462203</v>
      </c>
      <c r="F26" s="2">
        <v>0.66007721424102705</v>
      </c>
      <c r="G26" s="2">
        <v>0.56082069873809803</v>
      </c>
      <c r="H26" s="2">
        <v>2024</v>
      </c>
      <c r="I26" s="2">
        <v>6.5227999687194798</v>
      </c>
      <c r="J26" s="2">
        <v>2.11809849739074</v>
      </c>
      <c r="K26" s="2">
        <v>1.36122345924377</v>
      </c>
      <c r="L26" s="2">
        <v>0.76891559362411499</v>
      </c>
      <c r="M26" s="2">
        <v>0.74294829368591297</v>
      </c>
      <c r="N26" s="2">
        <v>0.575109243392944</v>
      </c>
      <c r="O26" s="2">
        <v>2025</v>
      </c>
      <c r="P26" s="2">
        <v>-6.3899999999999998E-2</v>
      </c>
    </row>
    <row r="27" spans="1:16" ht="14.4" customHeight="1" x14ac:dyDescent="0.3">
      <c r="A27" s="2" t="s">
        <v>40</v>
      </c>
      <c r="B27" s="2">
        <v>6.5711998939514098</v>
      </c>
      <c r="C27" s="2">
        <v>2.01504158973693</v>
      </c>
      <c r="D27" s="2">
        <v>1.2230294942855799</v>
      </c>
      <c r="E27" s="2">
        <v>0.40087872743606501</v>
      </c>
      <c r="F27" s="2">
        <v>0.74539530277252197</v>
      </c>
      <c r="G27" s="2">
        <v>0.24732458591461101</v>
      </c>
      <c r="H27" s="2">
        <v>2024</v>
      </c>
      <c r="I27" s="2">
        <v>6.7330999374389604</v>
      </c>
      <c r="J27" s="2">
        <v>1.9831197261810301</v>
      </c>
      <c r="K27" s="2">
        <v>1.1639497280120801</v>
      </c>
      <c r="L27" s="2">
        <v>0.56257724761962802</v>
      </c>
      <c r="M27" s="2">
        <v>0.81499636173248202</v>
      </c>
      <c r="N27" s="2">
        <v>0.25830468535423201</v>
      </c>
      <c r="O27" s="2">
        <v>2025</v>
      </c>
      <c r="P27" s="2">
        <v>0.16189999999999999</v>
      </c>
    </row>
    <row r="28" spans="1:16" ht="14.4" customHeight="1" x14ac:dyDescent="0.3">
      <c r="A28" s="2" t="s">
        <v>41</v>
      </c>
      <c r="B28" s="2">
        <v>6.53539991378784</v>
      </c>
      <c r="C28" s="2">
        <v>1.8903347253799401</v>
      </c>
      <c r="D28" s="2">
        <v>1.37184238433837</v>
      </c>
      <c r="E28" s="2">
        <v>0.492341488599777</v>
      </c>
      <c r="F28" s="2">
        <v>0.56193804740905695</v>
      </c>
      <c r="G28" s="2">
        <v>0.17771136760711601</v>
      </c>
      <c r="H28" s="2">
        <v>2024</v>
      </c>
      <c r="I28" s="2">
        <v>6.50349998474121</v>
      </c>
      <c r="J28" s="2">
        <v>1.8415800333023</v>
      </c>
      <c r="K28" s="2">
        <v>1.3458658456802299</v>
      </c>
      <c r="L28" s="2">
        <v>0.64976215362548795</v>
      </c>
      <c r="M28" s="2">
        <v>0.64903622865676802</v>
      </c>
      <c r="N28" s="2">
        <v>0.202347442507743</v>
      </c>
      <c r="O28" s="2">
        <v>2025</v>
      </c>
      <c r="P28" s="2">
        <v>-3.1899999999999998E-2</v>
      </c>
    </row>
    <row r="29" spans="1:16" ht="14.4" customHeight="1" x14ac:dyDescent="0.3">
      <c r="A29" s="2" t="s">
        <v>42</v>
      </c>
      <c r="B29" s="2">
        <v>6.4938998222351003</v>
      </c>
      <c r="C29" s="2">
        <v>1.6174221038818299</v>
      </c>
      <c r="D29" s="2">
        <v>1.44455206394195</v>
      </c>
      <c r="E29" s="2">
        <v>0.43512353301048201</v>
      </c>
      <c r="F29" s="2">
        <v>0.68340539932250899</v>
      </c>
      <c r="G29" s="2">
        <v>0.25392407178878701</v>
      </c>
      <c r="H29" s="2">
        <v>2024</v>
      </c>
      <c r="I29" s="2">
        <v>6.6114997863769496</v>
      </c>
      <c r="J29" s="2">
        <v>1.59556925296783</v>
      </c>
      <c r="K29" s="2">
        <v>1.4314388036727901</v>
      </c>
      <c r="L29" s="2">
        <v>0.59157454967498702</v>
      </c>
      <c r="M29" s="2">
        <v>0.77518963813781705</v>
      </c>
      <c r="N29" s="2">
        <v>0.22047239542007399</v>
      </c>
      <c r="O29" s="2">
        <v>2025</v>
      </c>
      <c r="P29" s="2">
        <v>0.1176</v>
      </c>
    </row>
    <row r="30" spans="1:16" ht="14.4" customHeight="1" x14ac:dyDescent="0.3">
      <c r="A30" s="2" t="s">
        <v>43</v>
      </c>
      <c r="B30" s="2">
        <v>6.4685997962951598</v>
      </c>
      <c r="C30" s="2">
        <v>1.7310861349105799</v>
      </c>
      <c r="D30" s="2">
        <v>1.54395532608032</v>
      </c>
      <c r="E30" s="2">
        <v>0.47157514095306302</v>
      </c>
      <c r="F30" s="2">
        <v>0.49447941780090299</v>
      </c>
      <c r="G30" s="2">
        <v>2.23858673125505E-2</v>
      </c>
      <c r="H30" s="2">
        <v>2024</v>
      </c>
      <c r="I30" s="2">
        <v>6.2571001052856401</v>
      </c>
      <c r="J30" s="2">
        <v>1.7055419683456401</v>
      </c>
      <c r="K30" s="2">
        <v>1.5402960777282699</v>
      </c>
      <c r="L30" s="2">
        <v>0.63796424865722601</v>
      </c>
      <c r="M30" s="2">
        <v>0.56641948223114003</v>
      </c>
      <c r="N30" s="2">
        <v>5.7916749268770197E-2</v>
      </c>
      <c r="O30" s="2">
        <v>2025</v>
      </c>
      <c r="P30" s="2">
        <v>-0.21149999999999999</v>
      </c>
    </row>
    <row r="31" spans="1:16" ht="14.4" customHeight="1" x14ac:dyDescent="0.3">
      <c r="A31" s="2" t="s">
        <v>44</v>
      </c>
      <c r="B31" s="2">
        <v>6.4626002311706499</v>
      </c>
      <c r="C31" s="2">
        <v>1.86092269420623</v>
      </c>
      <c r="D31" s="2">
        <v>1.37043917179107</v>
      </c>
      <c r="E31" s="2">
        <v>0.35063976049423201</v>
      </c>
      <c r="F31" s="2">
        <v>0.68156230449676503</v>
      </c>
      <c r="G31" s="2">
        <v>0.170314326882362</v>
      </c>
      <c r="H31" s="2">
        <v>2024</v>
      </c>
      <c r="I31" s="2">
        <v>6.5935001373290998</v>
      </c>
      <c r="J31" s="2">
        <v>1.84239709377288</v>
      </c>
      <c r="K31" s="2">
        <v>1.3606481552123999</v>
      </c>
      <c r="L31" s="2">
        <v>0.51123934984207098</v>
      </c>
      <c r="M31" s="2">
        <v>0.78711843490600497</v>
      </c>
      <c r="N31" s="2">
        <v>0.18797534704208299</v>
      </c>
      <c r="O31" s="2">
        <v>2025</v>
      </c>
      <c r="P31" s="2">
        <v>0.13089999999999999</v>
      </c>
    </row>
    <row r="32" spans="1:16" ht="14.4" customHeight="1" x14ac:dyDescent="0.3">
      <c r="A32" s="2" t="s">
        <v>45</v>
      </c>
      <c r="B32" s="2">
        <v>6.4552001953125</v>
      </c>
      <c r="C32" s="2">
        <v>1.79847741127014</v>
      </c>
      <c r="D32" s="2">
        <v>1.5264379978179901</v>
      </c>
      <c r="E32" s="2">
        <v>0.49370849132537797</v>
      </c>
      <c r="F32" s="2">
        <v>0.72810548543929998</v>
      </c>
      <c r="G32" s="2">
        <v>0.37218847870826699</v>
      </c>
      <c r="H32" s="2">
        <v>2024</v>
      </c>
      <c r="I32" s="2">
        <v>6.4477000236511204</v>
      </c>
      <c r="J32" s="2">
        <v>1.75184726715087</v>
      </c>
      <c r="K32" s="2">
        <v>1.52709305286407</v>
      </c>
      <c r="L32" s="2">
        <v>0.65734779834747303</v>
      </c>
      <c r="M32" s="2">
        <v>0.80537539720535201</v>
      </c>
      <c r="N32" s="2">
        <v>0.401493400335311</v>
      </c>
      <c r="O32" s="2">
        <v>2025</v>
      </c>
      <c r="P32" s="2">
        <v>-7.4999999999999997E-3</v>
      </c>
    </row>
    <row r="33" spans="1:16" ht="14.4" customHeight="1" x14ac:dyDescent="0.3">
      <c r="A33" s="2" t="s">
        <v>46</v>
      </c>
      <c r="B33" s="2">
        <v>6.4362001419067303</v>
      </c>
      <c r="C33" s="2">
        <v>1.7981053590774501</v>
      </c>
      <c r="D33" s="2">
        <v>1.49136173725128</v>
      </c>
      <c r="E33" s="2">
        <v>0.56726920604705799</v>
      </c>
      <c r="F33" s="2">
        <v>0.53291964530944802</v>
      </c>
      <c r="G33" s="2">
        <v>0.156555145978927</v>
      </c>
      <c r="H33" s="2">
        <v>2024</v>
      </c>
      <c r="I33" s="2">
        <v>6.4208998680114702</v>
      </c>
      <c r="J33" s="2">
        <v>1.7661887407302801</v>
      </c>
      <c r="K33" s="2">
        <v>1.4706276655197099</v>
      </c>
      <c r="L33" s="2">
        <v>0.72942513227462702</v>
      </c>
      <c r="M33" s="2">
        <v>0.61898076534271196</v>
      </c>
      <c r="N33" s="2">
        <v>0.17715202271938299</v>
      </c>
      <c r="O33" s="2">
        <v>2025</v>
      </c>
      <c r="P33" s="2">
        <v>-1.5299999999999999E-2</v>
      </c>
    </row>
    <row r="34" spans="1:16" ht="14.4" customHeight="1" x14ac:dyDescent="0.3">
      <c r="A34" s="2" t="s">
        <v>47</v>
      </c>
      <c r="B34" s="2">
        <v>6.4045000076293901</v>
      </c>
      <c r="C34" s="2">
        <v>1.8317288160323999</v>
      </c>
      <c r="D34" s="2">
        <v>1.36463010311126</v>
      </c>
      <c r="E34" s="2">
        <v>0.559095978736877</v>
      </c>
      <c r="F34" s="2">
        <v>0.43763837218284601</v>
      </c>
      <c r="G34" s="2">
        <v>6.2555566430091802E-2</v>
      </c>
      <c r="H34" s="2">
        <v>2024</v>
      </c>
      <c r="I34" s="2">
        <v>6.3235001564025799</v>
      </c>
      <c r="J34" s="2">
        <v>1.8001515865325901</v>
      </c>
      <c r="K34" s="2">
        <v>1.3282340764999301</v>
      </c>
      <c r="L34" s="2">
        <v>0.71972364187240601</v>
      </c>
      <c r="M34" s="2">
        <v>0.51298743486404397</v>
      </c>
      <c r="N34" s="2">
        <v>7.3561303317546803E-2</v>
      </c>
      <c r="O34" s="2">
        <v>2025</v>
      </c>
      <c r="P34" s="2">
        <v>-8.1000000000000003E-2</v>
      </c>
    </row>
    <row r="35" spans="1:16" ht="14.4" customHeight="1" x14ac:dyDescent="0.3">
      <c r="A35" s="2" t="s">
        <v>48</v>
      </c>
      <c r="B35" s="2">
        <v>6.3337998390197701</v>
      </c>
      <c r="C35" s="2">
        <v>1.64520370960235</v>
      </c>
      <c r="D35" s="2">
        <v>1.3837307691573999</v>
      </c>
      <c r="E35" s="2">
        <v>0.51140952110290505</v>
      </c>
      <c r="F35" s="2">
        <v>0.54642313718795699</v>
      </c>
      <c r="G35" s="2">
        <v>7.6167538762092493E-2</v>
      </c>
      <c r="H35" s="2">
        <v>2024</v>
      </c>
      <c r="I35" s="2">
        <v>6.3603000640869096</v>
      </c>
      <c r="J35" s="2">
        <v>1.6164460182189899</v>
      </c>
      <c r="K35" s="2">
        <v>1.3689835071563701</v>
      </c>
      <c r="L35" s="2">
        <v>0.67331045866012496</v>
      </c>
      <c r="M35" s="2">
        <v>0.65083158016204801</v>
      </c>
      <c r="N35" s="2">
        <v>7.5476005673408494E-2</v>
      </c>
      <c r="O35" s="2">
        <v>2025</v>
      </c>
      <c r="P35" s="2">
        <v>2.6499999999999999E-2</v>
      </c>
    </row>
    <row r="36" spans="1:16" ht="14.4" customHeight="1" x14ac:dyDescent="0.3">
      <c r="A36" s="2" t="s">
        <v>49</v>
      </c>
      <c r="B36" s="2">
        <v>6.3295001983642498</v>
      </c>
      <c r="C36" s="2">
        <v>1.55038821697235</v>
      </c>
      <c r="D36" s="2">
        <v>1.1687083244323699</v>
      </c>
      <c r="E36" s="2">
        <v>0.38880425691604598</v>
      </c>
      <c r="F36" s="2">
        <v>0.63153851032257002</v>
      </c>
      <c r="G36" s="2">
        <v>0.115131855010986</v>
      </c>
      <c r="H36" s="2">
        <v>2024</v>
      </c>
      <c r="I36" s="2">
        <v>6.6779999732971103</v>
      </c>
      <c r="J36" s="2">
        <v>1.52074146270751</v>
      </c>
      <c r="K36" s="2">
        <v>1.24119460582733</v>
      </c>
      <c r="L36" s="2">
        <v>0.54447031021118097</v>
      </c>
      <c r="M36" s="2">
        <v>0.72211104631423895</v>
      </c>
      <c r="N36" s="2">
        <v>0.12664742767810799</v>
      </c>
      <c r="O36" s="2">
        <v>2025</v>
      </c>
      <c r="P36" s="2">
        <v>0.34849999999999998</v>
      </c>
    </row>
    <row r="37" spans="1:16" ht="14.4" customHeight="1" x14ac:dyDescent="0.3">
      <c r="A37" s="2" t="s">
        <v>50</v>
      </c>
      <c r="B37" s="2">
        <v>6.2999000549316397</v>
      </c>
      <c r="C37" s="2">
        <v>1.8413457870483301</v>
      </c>
      <c r="D37" s="2">
        <v>1.4684698581695499</v>
      </c>
      <c r="E37" s="2">
        <v>0.54683583974838201</v>
      </c>
      <c r="F37" s="2">
        <v>0.67068034410476596</v>
      </c>
      <c r="G37" s="2">
        <v>0.14341334998607599</v>
      </c>
      <c r="H37" s="2">
        <v>2024</v>
      </c>
      <c r="I37" s="2">
        <v>6.3457999229431099</v>
      </c>
      <c r="J37" s="2">
        <v>1.82693207263946</v>
      </c>
      <c r="K37" s="2">
        <v>1.44359731674194</v>
      </c>
      <c r="L37" s="2">
        <v>0.70656597614288297</v>
      </c>
      <c r="M37" s="2">
        <v>0.72701311111450195</v>
      </c>
      <c r="N37" s="2">
        <v>0.12470190227031699</v>
      </c>
      <c r="O37" s="2">
        <v>2025</v>
      </c>
      <c r="P37" s="2">
        <v>4.5900000000000003E-2</v>
      </c>
    </row>
    <row r="38" spans="1:16" ht="14.4" customHeight="1" x14ac:dyDescent="0.3">
      <c r="A38" s="2" t="s">
        <v>51</v>
      </c>
      <c r="B38" s="2">
        <v>6.2645001411437899</v>
      </c>
      <c r="C38" s="2">
        <v>1.7137368917465201</v>
      </c>
      <c r="D38" s="2">
        <v>1.4018425941467201</v>
      </c>
      <c r="E38" s="2">
        <v>0.474638581275939</v>
      </c>
      <c r="F38" s="2">
        <v>0.63003838062286299</v>
      </c>
      <c r="G38" s="2">
        <v>3.6380667239427497E-2</v>
      </c>
      <c r="H38" s="2">
        <v>2024</v>
      </c>
      <c r="I38" s="2">
        <v>6.3582000732421804</v>
      </c>
      <c r="J38" s="2">
        <v>1.70171606540679</v>
      </c>
      <c r="K38" s="2">
        <v>1.3919932842254601</v>
      </c>
      <c r="L38" s="2">
        <v>0.633153855800628</v>
      </c>
      <c r="M38" s="2">
        <v>0.71992337703704801</v>
      </c>
      <c r="N38" s="2">
        <v>4.2526066303253098E-2</v>
      </c>
      <c r="O38" s="2">
        <v>2025</v>
      </c>
      <c r="P38" s="2">
        <v>9.3700000000000006E-2</v>
      </c>
    </row>
    <row r="39" spans="1:16" ht="14.4" customHeight="1" x14ac:dyDescent="0.3">
      <c r="A39" s="2" t="s">
        <v>52</v>
      </c>
      <c r="B39" s="2">
        <v>6.25969982147216</v>
      </c>
      <c r="C39" s="2">
        <v>1.76677441596984</v>
      </c>
      <c r="D39" s="2">
        <v>1.4744794368743801</v>
      </c>
      <c r="E39" s="2">
        <v>0.47732642292976302</v>
      </c>
      <c r="F39" s="2">
        <v>0.51079934835433904</v>
      </c>
      <c r="G39" s="2">
        <v>0.13861407339572901</v>
      </c>
      <c r="H39" s="2">
        <v>2024</v>
      </c>
      <c r="I39" s="2">
        <v>6.4415001869201598</v>
      </c>
      <c r="J39" s="2">
        <v>1.73770380020141</v>
      </c>
      <c r="K39" s="2">
        <v>1.41737008094787</v>
      </c>
      <c r="L39" s="2">
        <v>0.63935500383376997</v>
      </c>
      <c r="M39" s="2">
        <v>0.60003972053527799</v>
      </c>
      <c r="N39" s="2">
        <v>0.175305470824241</v>
      </c>
      <c r="O39" s="2">
        <v>2025</v>
      </c>
      <c r="P39" s="2">
        <v>0.18179999999999999</v>
      </c>
    </row>
    <row r="40" spans="1:16" ht="14.4" customHeight="1" x14ac:dyDescent="0.3">
      <c r="A40" s="2" t="s">
        <v>53</v>
      </c>
      <c r="B40" s="2">
        <v>6.2126998901367099</v>
      </c>
      <c r="C40" s="2">
        <v>1.73714280128479</v>
      </c>
      <c r="D40" s="2">
        <v>1.5049731731414699</v>
      </c>
      <c r="E40" s="2">
        <v>0.40516221523284901</v>
      </c>
      <c r="F40" s="2">
        <v>0.58015084266662598</v>
      </c>
      <c r="G40" s="2">
        <v>7.0794008672237396E-2</v>
      </c>
      <c r="H40" s="2">
        <v>2024</v>
      </c>
      <c r="I40" s="2">
        <v>6.2344999313354403</v>
      </c>
      <c r="J40" s="2">
        <v>1.70029425621032</v>
      </c>
      <c r="K40" s="2">
        <v>1.50847768783569</v>
      </c>
      <c r="L40" s="2">
        <v>0.56384015083312899</v>
      </c>
      <c r="M40" s="2">
        <v>0.66628980636596602</v>
      </c>
      <c r="N40" s="2">
        <v>7.8438013792037894E-2</v>
      </c>
      <c r="O40" s="2">
        <v>2025</v>
      </c>
      <c r="P40" s="2">
        <v>2.18E-2</v>
      </c>
    </row>
    <row r="41" spans="1:16" ht="14.4" customHeight="1" x14ac:dyDescent="0.3">
      <c r="A41" s="2" t="s">
        <v>54</v>
      </c>
      <c r="B41" s="2">
        <v>6.1732001304626403</v>
      </c>
      <c r="C41" s="2">
        <v>1.8825600147247299</v>
      </c>
      <c r="D41" s="2">
        <v>1.2693383693695</v>
      </c>
      <c r="E41" s="2">
        <v>0.38948526978492698</v>
      </c>
      <c r="F41" s="2">
        <v>0.74830830097198398</v>
      </c>
      <c r="G41" s="2">
        <v>0.13780325651168801</v>
      </c>
      <c r="H41" s="2">
        <v>2024</v>
      </c>
      <c r="I41" s="2">
        <v>5.9590997695922798</v>
      </c>
      <c r="J41" s="2"/>
      <c r="K41" s="2"/>
      <c r="L41" s="2"/>
      <c r="M41" s="2"/>
      <c r="N41" s="2"/>
      <c r="O41" s="2">
        <v>2025</v>
      </c>
      <c r="P41" s="2">
        <v>-0.21410000000000001</v>
      </c>
    </row>
    <row r="42" spans="1:16" ht="14.4" customHeight="1" x14ac:dyDescent="0.3">
      <c r="A42" s="2" t="s">
        <v>55</v>
      </c>
      <c r="B42" s="2">
        <v>6.1503000259399396</v>
      </c>
      <c r="C42" s="2">
        <v>1.2871797084808301</v>
      </c>
      <c r="D42" s="2">
        <v>1.1882239580154399</v>
      </c>
      <c r="E42" s="2">
        <v>0.30978888273239102</v>
      </c>
      <c r="F42" s="2">
        <v>0.63119769096374501</v>
      </c>
      <c r="G42" s="2">
        <v>6.6264510154724093E-2</v>
      </c>
      <c r="H42" s="2">
        <v>2024</v>
      </c>
      <c r="I42" s="2">
        <v>6.2870001792907697</v>
      </c>
      <c r="J42" s="2">
        <v>1.2595252990722601</v>
      </c>
      <c r="K42" s="2">
        <v>1.1688857078552199</v>
      </c>
      <c r="L42" s="2">
        <v>0.46691173315048201</v>
      </c>
      <c r="M42" s="2">
        <v>0.73530352115631104</v>
      </c>
      <c r="N42" s="2">
        <v>7.7771469950675895E-2</v>
      </c>
      <c r="O42" s="2">
        <v>2025</v>
      </c>
      <c r="P42" s="2">
        <v>0.13669999999999999</v>
      </c>
    </row>
    <row r="43" spans="1:16" ht="14.4" customHeight="1" x14ac:dyDescent="0.3">
      <c r="A43" s="2" t="s">
        <v>56</v>
      </c>
      <c r="B43" s="2">
        <v>6.1438999176025302</v>
      </c>
      <c r="C43" s="2">
        <v>1.6638872623443599</v>
      </c>
      <c r="D43" s="2">
        <v>1.49062192440032</v>
      </c>
      <c r="E43" s="2">
        <v>0.38885146379470797</v>
      </c>
      <c r="F43" s="2">
        <v>0.627563595771789</v>
      </c>
      <c r="G43" s="2">
        <v>0.14871793985366799</v>
      </c>
      <c r="H43" s="2">
        <v>2024</v>
      </c>
      <c r="I43" s="2">
        <v>6.1875</v>
      </c>
      <c r="J43" s="2">
        <v>1.6224950551986601</v>
      </c>
      <c r="K43" s="2">
        <v>1.4566448926925599</v>
      </c>
      <c r="L43" s="2">
        <v>0.55558097362518299</v>
      </c>
      <c r="M43" s="2">
        <v>0.73258322477340698</v>
      </c>
      <c r="N43" s="2">
        <v>0.11975425481796199</v>
      </c>
      <c r="O43" s="2">
        <v>2025</v>
      </c>
      <c r="P43" s="2">
        <v>4.36E-2</v>
      </c>
    </row>
    <row r="44" spans="1:16" ht="14.4" customHeight="1" x14ac:dyDescent="0.3">
      <c r="A44" s="2" t="s">
        <v>57</v>
      </c>
      <c r="B44" s="2">
        <v>6.1435999870300204</v>
      </c>
      <c r="C44" s="2">
        <v>1.55195844173431</v>
      </c>
      <c r="D44" s="2">
        <v>1.3431038856506301</v>
      </c>
      <c r="E44" s="2">
        <v>0.42388743162155101</v>
      </c>
      <c r="F44" s="2">
        <v>0.61665087938308705</v>
      </c>
      <c r="G44" s="2">
        <v>8.0694347620010307E-2</v>
      </c>
      <c r="H44" s="2">
        <v>2024</v>
      </c>
      <c r="I44" s="2">
        <v>6.4107999801635698</v>
      </c>
      <c r="J44" s="2">
        <v>1.53782451152801</v>
      </c>
      <c r="K44" s="2">
        <v>1.3914881944656301</v>
      </c>
      <c r="L44" s="2">
        <v>0.58534294366836503</v>
      </c>
      <c r="M44" s="2">
        <v>0.66322684288024902</v>
      </c>
      <c r="N44" s="2">
        <v>0.100630290806293</v>
      </c>
      <c r="O44" s="2">
        <v>2025</v>
      </c>
      <c r="P44" s="2">
        <v>0.26719999999999999</v>
      </c>
    </row>
    <row r="45" spans="1:16" ht="14.4" customHeight="1" x14ac:dyDescent="0.3">
      <c r="A45" s="2" t="s">
        <v>58</v>
      </c>
      <c r="B45" s="2">
        <v>6.13000011444091</v>
      </c>
      <c r="C45" s="2">
        <v>1.82353544235229</v>
      </c>
      <c r="D45" s="2">
        <v>1.22446429729461</v>
      </c>
      <c r="E45" s="2">
        <v>0.57958376407623202</v>
      </c>
      <c r="F45" s="2">
        <v>0.45541700720786998</v>
      </c>
      <c r="G45" s="2">
        <v>4.96397875249385E-2</v>
      </c>
      <c r="H45" s="2">
        <v>2024</v>
      </c>
      <c r="I45" s="2">
        <v>6.0680999755859304</v>
      </c>
      <c r="J45" s="2">
        <v>1.7937989234924301</v>
      </c>
      <c r="K45" s="2">
        <v>1.21699178218841</v>
      </c>
      <c r="L45" s="2">
        <v>0.74399131536483698</v>
      </c>
      <c r="M45" s="2">
        <v>0.52878993749618497</v>
      </c>
      <c r="N45" s="2">
        <v>4.91753257811069E-2</v>
      </c>
      <c r="O45" s="2">
        <v>2025</v>
      </c>
      <c r="P45" s="2">
        <v>-6.1899999999999997E-2</v>
      </c>
    </row>
    <row r="46" spans="1:16" ht="14.4" customHeight="1" x14ac:dyDescent="0.3">
      <c r="A46" s="2" t="s">
        <v>59</v>
      </c>
      <c r="B46" s="2">
        <v>6.1290001869201598</v>
      </c>
      <c r="C46" s="2">
        <v>1.8251321315765301</v>
      </c>
      <c r="D46" s="2">
        <v>1.39632415771484</v>
      </c>
      <c r="E46" s="2">
        <v>0.62174862623214699</v>
      </c>
      <c r="F46" s="2">
        <v>0.55604839324951105</v>
      </c>
      <c r="G46" s="2">
        <v>0.20712538063526101</v>
      </c>
      <c r="H46" s="2">
        <v>2024</v>
      </c>
      <c r="I46" s="2">
        <v>6.0598001480102504</v>
      </c>
      <c r="J46" s="2">
        <v>1.78572118282318</v>
      </c>
      <c r="K46" s="2">
        <v>1.3543787002563401</v>
      </c>
      <c r="L46" s="2">
        <v>0.78483772277831998</v>
      </c>
      <c r="M46" s="2">
        <v>0.63151836395263605</v>
      </c>
      <c r="N46" s="2">
        <v>0.21942955255508401</v>
      </c>
      <c r="O46" s="2">
        <v>2025</v>
      </c>
      <c r="P46" s="2">
        <v>-6.9199999999999998E-2</v>
      </c>
    </row>
    <row r="47" spans="1:16" ht="14.4" customHeight="1" x14ac:dyDescent="0.3">
      <c r="A47" s="2" t="s">
        <v>60</v>
      </c>
      <c r="B47" s="2">
        <v>6.125</v>
      </c>
      <c r="C47" s="2">
        <v>1.7265332937240601</v>
      </c>
      <c r="D47" s="2">
        <v>1.45458471775054</v>
      </c>
      <c r="E47" s="2">
        <v>0.47463068366050698</v>
      </c>
      <c r="F47" s="2">
        <v>0.49966320395469599</v>
      </c>
      <c r="G47" s="2">
        <v>2.7265360113233302E-3</v>
      </c>
      <c r="H47" s="2">
        <v>2024</v>
      </c>
      <c r="I47" s="2">
        <v>5.94229984283447</v>
      </c>
      <c r="J47" s="2">
        <v>1.7100956439971899</v>
      </c>
      <c r="K47" s="2">
        <v>1.4447548389434799</v>
      </c>
      <c r="L47" s="2">
        <v>0.63660007715225198</v>
      </c>
      <c r="M47" s="2">
        <v>0.46918749809265098</v>
      </c>
      <c r="N47" s="2">
        <v>4.2858440428972203E-2</v>
      </c>
      <c r="O47" s="2">
        <v>2025</v>
      </c>
      <c r="P47" s="2">
        <v>-0.1827</v>
      </c>
    </row>
    <row r="48" spans="1:16" ht="14.4" customHeight="1" x14ac:dyDescent="0.3">
      <c r="A48" s="2" t="s">
        <v>61</v>
      </c>
      <c r="B48" s="2">
        <v>6.1245999336242596</v>
      </c>
      <c r="C48" s="2">
        <v>1.4544808864593499</v>
      </c>
      <c r="D48" s="2">
        <v>1.2502194643020601</v>
      </c>
      <c r="E48" s="2">
        <v>0.387406706809997</v>
      </c>
      <c r="F48" s="2">
        <v>0.55848819017410201</v>
      </c>
      <c r="G48" s="2">
        <v>0.13709659874439201</v>
      </c>
      <c r="H48" s="2">
        <v>2024</v>
      </c>
      <c r="I48" s="2">
        <v>6.2719998359680096</v>
      </c>
      <c r="J48" s="2">
        <v>1.42952585220336</v>
      </c>
      <c r="K48" s="2">
        <v>1.26877760887146</v>
      </c>
      <c r="L48" s="2">
        <v>0.54791021347045898</v>
      </c>
      <c r="M48" s="2">
        <v>0.68522375822067205</v>
      </c>
      <c r="N48" s="2">
        <v>0.142451256513595</v>
      </c>
      <c r="O48" s="2">
        <v>2025</v>
      </c>
      <c r="P48" s="2">
        <v>0.1474</v>
      </c>
    </row>
    <row r="49" spans="1:16" ht="14.4" customHeight="1" x14ac:dyDescent="0.3">
      <c r="A49" s="2" t="s">
        <v>62</v>
      </c>
      <c r="B49" s="2">
        <v>6.1216001510620099</v>
      </c>
      <c r="C49" s="2">
        <v>1.2776421308517401</v>
      </c>
      <c r="D49" s="2">
        <v>1.0442631244659399</v>
      </c>
      <c r="E49" s="2">
        <v>0.38327082991599998</v>
      </c>
      <c r="F49" s="2">
        <v>0.71312326192855802</v>
      </c>
      <c r="G49" s="2">
        <v>0.22166745364665899</v>
      </c>
      <c r="H49" s="2">
        <v>2024</v>
      </c>
      <c r="I49" s="2">
        <v>6.4686999320983798</v>
      </c>
      <c r="J49" s="2">
        <v>1.26508092880249</v>
      </c>
      <c r="K49" s="2">
        <v>1.07977294921875</v>
      </c>
      <c r="L49" s="2">
        <v>0.54873484373092596</v>
      </c>
      <c r="M49" s="2">
        <v>0.81603050231933505</v>
      </c>
      <c r="N49" s="2">
        <v>0.25271326303482</v>
      </c>
      <c r="O49" s="2">
        <v>2025</v>
      </c>
      <c r="P49" s="2">
        <v>0.34710000000000002</v>
      </c>
    </row>
    <row r="50" spans="1:16" ht="14.4" customHeight="1" x14ac:dyDescent="0.3">
      <c r="A50" s="2" t="s">
        <v>63</v>
      </c>
      <c r="B50" s="2">
        <v>6.0412001609802202</v>
      </c>
      <c r="C50" s="2">
        <v>1.7544872760772701</v>
      </c>
      <c r="D50" s="2">
        <v>1.51888883113861</v>
      </c>
      <c r="E50" s="2">
        <v>0.43513578176498402</v>
      </c>
      <c r="F50" s="2">
        <v>0.50058579444885198</v>
      </c>
      <c r="G50" s="2">
        <v>6.4628392457961994E-2</v>
      </c>
      <c r="H50" s="2">
        <v>2024</v>
      </c>
      <c r="I50" s="2">
        <v>6.0169000625610298</v>
      </c>
      <c r="J50" s="2">
        <v>1.7220711708068801</v>
      </c>
      <c r="K50" s="2">
        <v>1.52821421623229</v>
      </c>
      <c r="L50" s="2">
        <v>0.595742046833038</v>
      </c>
      <c r="M50" s="2">
        <v>0.58092683553695601</v>
      </c>
      <c r="N50" s="2">
        <v>6.7108042538166005E-2</v>
      </c>
      <c r="O50" s="2">
        <v>2025</v>
      </c>
      <c r="P50" s="2">
        <v>-2.4299999999999999E-2</v>
      </c>
    </row>
    <row r="51" spans="1:16" ht="14.4" customHeight="1" x14ac:dyDescent="0.3">
      <c r="A51" s="2" t="s">
        <v>64</v>
      </c>
      <c r="B51" s="2">
        <v>6.0237002372741699</v>
      </c>
      <c r="C51" s="2">
        <v>1.5895475149154601</v>
      </c>
      <c r="D51" s="2">
        <v>1.3881741762161199</v>
      </c>
      <c r="E51" s="2">
        <v>0.42695173621177601</v>
      </c>
      <c r="F51" s="2">
        <v>0.58689874410629195</v>
      </c>
      <c r="G51" s="2">
        <v>8.2425206899642903E-2</v>
      </c>
      <c r="H51" s="2">
        <v>2024</v>
      </c>
      <c r="I51" s="2">
        <v>6.1880998611450098</v>
      </c>
      <c r="J51" s="2">
        <v>1.5617474317550599</v>
      </c>
      <c r="K51" s="2">
        <v>1.38130450248718</v>
      </c>
      <c r="L51" s="2">
        <v>0.58465063571929898</v>
      </c>
      <c r="M51" s="2">
        <v>0.68074375391006403</v>
      </c>
      <c r="N51" s="2">
        <v>8.0457270145416204E-2</v>
      </c>
      <c r="O51" s="2">
        <v>2025</v>
      </c>
      <c r="P51" s="2">
        <v>0.16439999999999999</v>
      </c>
    </row>
    <row r="52" spans="1:16" ht="14.4" customHeight="1" x14ac:dyDescent="0.3">
      <c r="A52" s="2" t="s">
        <v>65</v>
      </c>
      <c r="B52" s="2">
        <v>6.02250003814697</v>
      </c>
      <c r="C52" s="2">
        <v>1.1148588657379099</v>
      </c>
      <c r="D52" s="2">
        <v>1.07161128520965</v>
      </c>
      <c r="E52" s="2">
        <v>0.34147703647613498</v>
      </c>
      <c r="F52" s="2">
        <v>0.61341780424117998</v>
      </c>
      <c r="G52" s="2">
        <v>6.1733901500701897E-2</v>
      </c>
      <c r="H52" s="2">
        <v>2024</v>
      </c>
      <c r="I52" s="2">
        <v>5.96840000152587</v>
      </c>
      <c r="J52" s="2">
        <v>1.0906941890716499</v>
      </c>
      <c r="K52" s="2">
        <v>1.0354576110839799</v>
      </c>
      <c r="L52" s="2">
        <v>0.50224244594573897</v>
      </c>
      <c r="M52" s="2">
        <v>0.71987932920455899</v>
      </c>
      <c r="N52" s="2">
        <v>8.0780990421772003E-2</v>
      </c>
      <c r="O52" s="2">
        <v>2025</v>
      </c>
      <c r="P52" s="2">
        <v>-5.4100000000000002E-2</v>
      </c>
    </row>
    <row r="53" spans="1:16" ht="14.4" customHeight="1" x14ac:dyDescent="0.3">
      <c r="A53" s="2" t="s">
        <v>66</v>
      </c>
      <c r="B53" s="2">
        <v>6.01429986953735</v>
      </c>
      <c r="C53" s="2">
        <v>1.2271769046783401</v>
      </c>
      <c r="D53" s="2">
        <v>1.3474141359329199</v>
      </c>
      <c r="E53" s="2">
        <v>0.37519484758376997</v>
      </c>
      <c r="F53" s="2">
        <v>0.74024718999862604</v>
      </c>
      <c r="G53" s="2">
        <v>0.20837432146072299</v>
      </c>
      <c r="H53" s="2">
        <v>2024</v>
      </c>
      <c r="I53" s="2">
        <v>6.1950001716613698</v>
      </c>
      <c r="J53" s="2">
        <v>1.2116951942443801</v>
      </c>
      <c r="K53" s="2">
        <v>1.39447152614593</v>
      </c>
      <c r="L53" s="2">
        <v>0.538921117782592</v>
      </c>
      <c r="M53" s="2">
        <v>0.83495360612869196</v>
      </c>
      <c r="N53" s="2">
        <v>0.21466396749019601</v>
      </c>
      <c r="O53" s="2">
        <v>2025</v>
      </c>
      <c r="P53" s="2">
        <v>0.1807</v>
      </c>
    </row>
    <row r="54" spans="1:16" ht="14.4" customHeight="1" x14ac:dyDescent="0.3">
      <c r="A54" s="2" t="s">
        <v>67</v>
      </c>
      <c r="B54" s="2">
        <v>6.0123000144958496</v>
      </c>
      <c r="C54" s="2">
        <v>1.6649701595306301</v>
      </c>
      <c r="D54" s="2">
        <v>1.1550667285919101</v>
      </c>
      <c r="E54" s="2">
        <v>0.38505336642265298</v>
      </c>
      <c r="F54" s="2">
        <v>0.65882396697998002</v>
      </c>
      <c r="G54" s="2">
        <v>0.12220989912748299</v>
      </c>
      <c r="H54" s="2">
        <v>2024</v>
      </c>
      <c r="I54" s="2">
        <v>5.9752001762390101</v>
      </c>
      <c r="J54" s="2">
        <v>1.6458711624145499</v>
      </c>
      <c r="K54" s="2">
        <v>1.1434816122055</v>
      </c>
      <c r="L54" s="2">
        <v>0.53962272405624301</v>
      </c>
      <c r="M54" s="2">
        <v>0.82854324579238803</v>
      </c>
      <c r="N54" s="2">
        <v>0.11904513835906901</v>
      </c>
      <c r="O54" s="2">
        <v>2025</v>
      </c>
      <c r="P54" s="2">
        <v>-3.7100000000000001E-2</v>
      </c>
    </row>
    <row r="55" spans="1:16" ht="14.4" customHeight="1" x14ac:dyDescent="0.3">
      <c r="A55" s="2" t="s">
        <v>68</v>
      </c>
      <c r="B55" s="2">
        <v>5.9679999351501403</v>
      </c>
      <c r="C55" s="2">
        <v>1.75806319713592</v>
      </c>
      <c r="D55" s="2">
        <v>1.3555439710617001</v>
      </c>
      <c r="E55" s="2">
        <v>0.53730934858322099</v>
      </c>
      <c r="F55" s="2">
        <v>0.69303083419799805</v>
      </c>
      <c r="G55" s="2">
        <v>3.6539014428853898E-2</v>
      </c>
      <c r="H55" s="2">
        <v>2024</v>
      </c>
      <c r="I55" s="2">
        <v>6.0296001434326101</v>
      </c>
      <c r="J55" s="2">
        <v>1.72756016254425</v>
      </c>
      <c r="K55" s="2">
        <v>1.3677244186401301</v>
      </c>
      <c r="L55" s="2">
        <v>0.69895011186599698</v>
      </c>
      <c r="M55" s="2">
        <v>0.75667178630828802</v>
      </c>
      <c r="N55" s="2">
        <v>3.5341437906026799E-2</v>
      </c>
      <c r="O55" s="2">
        <v>2025</v>
      </c>
      <c r="P55" s="2">
        <v>6.1600000000000002E-2</v>
      </c>
    </row>
    <row r="56" spans="1:16" ht="14.4" customHeight="1" x14ac:dyDescent="0.3">
      <c r="A56" s="2" t="s">
        <v>69</v>
      </c>
      <c r="B56" s="2">
        <v>5.9510998725891104</v>
      </c>
      <c r="C56" s="2">
        <v>1.8527539968490601</v>
      </c>
      <c r="D56" s="2">
        <v>1.1879149675369201</v>
      </c>
      <c r="E56" s="2">
        <v>0.60269558429717995</v>
      </c>
      <c r="F56" s="2">
        <v>0.44603991508483798</v>
      </c>
      <c r="G56" s="2">
        <v>0.16324506700038899</v>
      </c>
      <c r="H56" s="2">
        <v>2024</v>
      </c>
      <c r="I56" s="2">
        <v>6.05789995193481</v>
      </c>
      <c r="J56" s="2">
        <v>1.81498610973358</v>
      </c>
      <c r="K56" s="2">
        <v>1.1780478954315099</v>
      </c>
      <c r="L56" s="2">
        <v>0.76963245868682795</v>
      </c>
      <c r="M56" s="2">
        <v>0.55467605590820301</v>
      </c>
      <c r="N56" s="2">
        <v>0.15793220698833399</v>
      </c>
      <c r="O56" s="2">
        <v>2025</v>
      </c>
      <c r="P56" s="2">
        <v>0.10680000000000001</v>
      </c>
    </row>
    <row r="57" spans="1:16" ht="14.4" customHeight="1" x14ac:dyDescent="0.3">
      <c r="A57" s="2" t="s">
        <v>70</v>
      </c>
      <c r="B57" s="2">
        <v>5.9309000968933097</v>
      </c>
      <c r="C57" s="2">
        <v>1.70767426490783</v>
      </c>
      <c r="D57" s="2">
        <v>1.24687182903289</v>
      </c>
      <c r="E57" s="2">
        <v>0.53456747531890803</v>
      </c>
      <c r="F57" s="2">
        <v>0.24788780510425501</v>
      </c>
      <c r="G57" s="2">
        <v>9.7317494451999595E-2</v>
      </c>
      <c r="H57" s="2">
        <v>2024</v>
      </c>
      <c r="I57" s="2">
        <v>5.9335999488830504</v>
      </c>
      <c r="J57" s="2">
        <v>1.68391549587249</v>
      </c>
      <c r="K57" s="2">
        <v>1.2760926485061601</v>
      </c>
      <c r="L57" s="2">
        <v>0.696175336837768</v>
      </c>
      <c r="M57" s="2">
        <v>0.33715590834617598</v>
      </c>
      <c r="N57" s="2">
        <v>9.2573896050453103E-2</v>
      </c>
      <c r="O57" s="2">
        <v>2025</v>
      </c>
      <c r="P57" s="2">
        <v>2.7000000000000001E-3</v>
      </c>
    </row>
    <row r="58" spans="1:16" ht="14.4" customHeight="1" x14ac:dyDescent="0.3">
      <c r="A58" s="2" t="s">
        <v>71</v>
      </c>
      <c r="B58" s="2">
        <v>5.90229988098144</v>
      </c>
      <c r="C58" s="2">
        <v>1.58897840976715</v>
      </c>
      <c r="D58" s="2">
        <v>1.3817156553268399</v>
      </c>
      <c r="E58" s="2">
        <v>0.33567658066749501</v>
      </c>
      <c r="F58" s="2">
        <v>0.57394343614578203</v>
      </c>
      <c r="G58" s="2">
        <v>0.11043675243854501</v>
      </c>
      <c r="H58" s="2">
        <v>2024</v>
      </c>
      <c r="I58" s="2">
        <v>5.8164000511169398</v>
      </c>
      <c r="J58" s="2">
        <v>1.5704201459884599</v>
      </c>
      <c r="K58" s="2">
        <v>1.35778367519378</v>
      </c>
      <c r="L58" s="2">
        <v>0.48974645137786799</v>
      </c>
      <c r="M58" s="2">
        <v>0.64079582691192605</v>
      </c>
      <c r="N58" s="2">
        <v>0.11776747554540599</v>
      </c>
      <c r="O58" s="2">
        <v>2025</v>
      </c>
      <c r="P58" s="2">
        <v>-8.5900000000000004E-2</v>
      </c>
    </row>
    <row r="59" spans="1:16" ht="14.4" customHeight="1" x14ac:dyDescent="0.3">
      <c r="A59" s="2" t="s">
        <v>72</v>
      </c>
      <c r="B59" s="2">
        <v>5.8429999351501403</v>
      </c>
      <c r="C59" s="2">
        <v>1.5151944160461399</v>
      </c>
      <c r="D59" s="2">
        <v>1.34426534175872</v>
      </c>
      <c r="E59" s="2">
        <v>0.46099820733070301</v>
      </c>
      <c r="F59" s="2">
        <v>0.62370586395263605</v>
      </c>
      <c r="G59" s="2">
        <v>1.3393301516771299E-2</v>
      </c>
      <c r="H59" s="2">
        <v>2024</v>
      </c>
      <c r="I59" s="2">
        <v>5.9760999679565403</v>
      </c>
      <c r="J59" s="2">
        <v>1.48420751094818</v>
      </c>
      <c r="K59" s="2">
        <v>1.3467154502868599</v>
      </c>
      <c r="L59" s="2">
        <v>0.61997759342193604</v>
      </c>
      <c r="M59" s="2">
        <v>0.75567859411239602</v>
      </c>
      <c r="N59" s="2">
        <v>2.4175690487027099E-2</v>
      </c>
      <c r="O59" s="2">
        <v>2025</v>
      </c>
      <c r="P59" s="2">
        <v>0.1331</v>
      </c>
    </row>
    <row r="60" spans="1:16" ht="14.4" customHeight="1" x14ac:dyDescent="0.3">
      <c r="A60" s="2" t="s">
        <v>73</v>
      </c>
      <c r="B60" s="2">
        <v>5.8401999473571697</v>
      </c>
      <c r="C60" s="2">
        <v>1.3792490959167401</v>
      </c>
      <c r="D60" s="2">
        <v>1.49410736560821</v>
      </c>
      <c r="E60" s="2">
        <v>0.24439497292041701</v>
      </c>
      <c r="F60" s="2">
        <v>0.42519521713256803</v>
      </c>
      <c r="G60" s="2">
        <v>5.7564903050660997E-2</v>
      </c>
      <c r="H60" s="2">
        <v>2024</v>
      </c>
      <c r="I60" s="2">
        <v>5.6961998939514098</v>
      </c>
      <c r="J60" s="2">
        <v>1.3527040481567301</v>
      </c>
      <c r="K60" s="2">
        <v>1.51064777374267</v>
      </c>
      <c r="L60" s="2">
        <v>0.40038603544235202</v>
      </c>
      <c r="M60" s="2">
        <v>0.50080066919326705</v>
      </c>
      <c r="N60" s="2">
        <v>5.5269941687583903E-2</v>
      </c>
      <c r="O60" s="2">
        <v>2025</v>
      </c>
      <c r="P60" s="2">
        <v>-0.14399999999999999</v>
      </c>
    </row>
    <row r="61" spans="1:16" ht="14.4" customHeight="1" x14ac:dyDescent="0.3">
      <c r="A61" s="2" t="s">
        <v>74</v>
      </c>
      <c r="B61" s="2">
        <v>5.8253002166748002</v>
      </c>
      <c r="C61" s="2">
        <v>1.0612764358520499</v>
      </c>
      <c r="D61" s="2">
        <v>1.4393519163131701</v>
      </c>
      <c r="E61" s="2">
        <v>0.417480498552322</v>
      </c>
      <c r="F61" s="2">
        <v>0.73542743921279896</v>
      </c>
      <c r="G61" s="2">
        <v>1.8120765686035101E-2</v>
      </c>
      <c r="H61" s="2">
        <v>2024</v>
      </c>
      <c r="I61" s="2">
        <v>5.71350002288818</v>
      </c>
      <c r="J61" s="2">
        <v>1.0542736053466699</v>
      </c>
      <c r="K61" s="2">
        <v>1.4769147634506199</v>
      </c>
      <c r="L61" s="2">
        <v>0.58809810876846302</v>
      </c>
      <c r="M61" s="2">
        <v>0.83427447080612105</v>
      </c>
      <c r="N61" s="2">
        <v>2.9853262007236401E-2</v>
      </c>
      <c r="O61" s="2">
        <v>2025</v>
      </c>
      <c r="P61" s="2">
        <v>-0.1118</v>
      </c>
    </row>
    <row r="62" spans="1:16" ht="14.4" customHeight="1" x14ac:dyDescent="0.3">
      <c r="A62" s="2" t="s">
        <v>75</v>
      </c>
      <c r="B62" s="2">
        <v>5.8192000389099103</v>
      </c>
      <c r="C62" s="2">
        <v>1.42456531524658</v>
      </c>
      <c r="D62" s="2">
        <v>1.3016452789306601</v>
      </c>
      <c r="E62" s="2">
        <v>0.375155359506607</v>
      </c>
      <c r="F62" s="2">
        <v>0.60957109928131104</v>
      </c>
      <c r="G62" s="2">
        <v>2.0222235471010201E-2</v>
      </c>
      <c r="H62" s="2">
        <v>2024</v>
      </c>
      <c r="I62" s="2">
        <v>5.8158998489379803</v>
      </c>
      <c r="J62" s="2">
        <v>1.38536441326141</v>
      </c>
      <c r="K62" s="2">
        <v>1.277184009552</v>
      </c>
      <c r="L62" s="2">
        <v>0.54165703058242798</v>
      </c>
      <c r="M62" s="2">
        <v>0.69485604763030995</v>
      </c>
      <c r="N62" s="2">
        <v>4.4482506811618798E-2</v>
      </c>
      <c r="O62" s="2">
        <v>2025</v>
      </c>
      <c r="P62" s="2">
        <v>-3.3E-3</v>
      </c>
    </row>
    <row r="63" spans="1:16" ht="14.4" customHeight="1" x14ac:dyDescent="0.3">
      <c r="A63" s="2" t="s">
        <v>76</v>
      </c>
      <c r="B63" s="2">
        <v>5.8179001808166504</v>
      </c>
      <c r="C63" s="2">
        <v>1.51038610935211</v>
      </c>
      <c r="D63" s="2">
        <v>1.2487590312957699</v>
      </c>
      <c r="E63" s="2">
        <v>0.46751427650451599</v>
      </c>
      <c r="F63" s="2">
        <v>0.66569501161575295</v>
      </c>
      <c r="G63" s="2">
        <v>0.144586712121963</v>
      </c>
      <c r="H63" s="2">
        <v>2024</v>
      </c>
      <c r="I63" s="2">
        <v>5.9727001190185502</v>
      </c>
      <c r="J63" s="2">
        <v>1.49684822559356</v>
      </c>
      <c r="K63" s="2">
        <v>1.2386896610260001</v>
      </c>
      <c r="L63" s="2">
        <v>0.62890815734863204</v>
      </c>
      <c r="M63" s="2">
        <v>0.70440632104873602</v>
      </c>
      <c r="N63" s="2">
        <v>0.163504868745803</v>
      </c>
      <c r="O63" s="2">
        <v>2025</v>
      </c>
      <c r="P63" s="2">
        <v>0.15479999999999999</v>
      </c>
    </row>
    <row r="64" spans="1:16" ht="14.4" customHeight="1" x14ac:dyDescent="0.3">
      <c r="A64" s="2" t="s">
        <v>77</v>
      </c>
      <c r="B64" s="2">
        <v>5.7632999420165998</v>
      </c>
      <c r="C64" s="2">
        <v>1.3485907316207799</v>
      </c>
      <c r="D64" s="2">
        <v>1.21199142932891</v>
      </c>
      <c r="E64" s="2">
        <v>0.38069608807563698</v>
      </c>
      <c r="F64" s="2">
        <v>0.74121290445327703</v>
      </c>
      <c r="G64" s="2">
        <v>0.12194114923477101</v>
      </c>
      <c r="H64" s="2">
        <v>2024</v>
      </c>
      <c r="I64" s="2">
        <v>6.0430002212524396</v>
      </c>
      <c r="J64" s="2">
        <v>1.33050060272216</v>
      </c>
      <c r="K64" s="2">
        <v>1.26700794696807</v>
      </c>
      <c r="L64" s="2">
        <v>0.53891986608505205</v>
      </c>
      <c r="M64" s="2">
        <v>0.84256321191787698</v>
      </c>
      <c r="N64" s="2">
        <v>0.159983456134796</v>
      </c>
      <c r="O64" s="2">
        <v>2025</v>
      </c>
      <c r="P64" s="2">
        <v>0.2797</v>
      </c>
    </row>
    <row r="65" spans="1:16" ht="14.4" customHeight="1" x14ac:dyDescent="0.3">
      <c r="A65" s="2" t="s">
        <v>78</v>
      </c>
      <c r="B65" s="2">
        <v>5.7378001213073704</v>
      </c>
      <c r="C65" s="2">
        <v>1.4284915924072199</v>
      </c>
      <c r="D65" s="2">
        <v>1.4265047311782799</v>
      </c>
      <c r="E65" s="2">
        <v>0.391525357961654</v>
      </c>
      <c r="F65" s="2">
        <v>0.67760771512985196</v>
      </c>
      <c r="G65" s="2">
        <v>6.1956416815519298E-2</v>
      </c>
      <c r="H65" s="2">
        <v>2024</v>
      </c>
      <c r="I65" s="2">
        <v>5.9765000343322701</v>
      </c>
      <c r="J65" s="2">
        <v>1.3981411457061701</v>
      </c>
      <c r="K65" s="2">
        <v>1.40800976753234</v>
      </c>
      <c r="L65" s="2">
        <v>0.54862999916076605</v>
      </c>
      <c r="M65" s="2">
        <v>0.78757679462432795</v>
      </c>
      <c r="N65" s="2">
        <v>6.5295100212097099E-2</v>
      </c>
      <c r="O65" s="2">
        <v>2025</v>
      </c>
      <c r="P65" s="2">
        <v>0.2387</v>
      </c>
    </row>
    <row r="66" spans="1:16" ht="14.4" customHeight="1" x14ac:dyDescent="0.3">
      <c r="A66" s="2" t="s">
        <v>79</v>
      </c>
      <c r="B66" s="2">
        <v>5.7221999168395996</v>
      </c>
      <c r="C66" s="2">
        <v>1.53711426258087</v>
      </c>
      <c r="D66" s="2">
        <v>1.3849304914474401</v>
      </c>
      <c r="E66" s="2">
        <v>0.424224823713302</v>
      </c>
      <c r="F66" s="2">
        <v>0.56337130069732599</v>
      </c>
      <c r="G66" s="2">
        <v>6.0632850974798203E-2</v>
      </c>
      <c r="H66" s="2">
        <v>2024</v>
      </c>
      <c r="I66" s="2">
        <v>5.7069997787475497</v>
      </c>
      <c r="J66" s="2">
        <v>1.5705214738845801</v>
      </c>
      <c r="K66" s="2">
        <v>1.3179855346679601</v>
      </c>
      <c r="L66" s="2">
        <v>0.58742481470107999</v>
      </c>
      <c r="M66" s="2">
        <v>0.63172835111617998</v>
      </c>
      <c r="N66" s="2">
        <v>0.132151454687118</v>
      </c>
      <c r="O66" s="2">
        <v>2025</v>
      </c>
      <c r="P66" s="2">
        <v>-1.52E-2</v>
      </c>
    </row>
    <row r="67" spans="1:16" ht="14.4" customHeight="1" x14ac:dyDescent="0.3">
      <c r="A67" s="2" t="s">
        <v>80</v>
      </c>
      <c r="B67" s="2">
        <v>5.7027001380920401</v>
      </c>
      <c r="C67" s="2">
        <v>1.30471467971801</v>
      </c>
      <c r="D67" s="2">
        <v>1.3286206722259499</v>
      </c>
      <c r="E67" s="2">
        <v>0.410601466894149</v>
      </c>
      <c r="F67" s="2">
        <v>0.586500644683837</v>
      </c>
      <c r="G67" s="2">
        <v>3.8694322109222398E-2</v>
      </c>
      <c r="H67" s="2">
        <v>2024</v>
      </c>
      <c r="I67" s="2">
        <v>5.8417000770568803</v>
      </c>
      <c r="J67" s="2">
        <v>1.28019499778747</v>
      </c>
      <c r="K67" s="2">
        <v>1.3238065242767301</v>
      </c>
      <c r="L67" s="2">
        <v>0.56663691997527998</v>
      </c>
      <c r="M67" s="2">
        <v>0.64691823720931996</v>
      </c>
      <c r="N67" s="2">
        <v>2.80651915818452E-2</v>
      </c>
      <c r="O67" s="2">
        <v>2025</v>
      </c>
      <c r="P67" s="2">
        <v>0.13900000000000001</v>
      </c>
    </row>
    <row r="68" spans="1:16" ht="14.4" customHeight="1" x14ac:dyDescent="0.3">
      <c r="A68" s="2" t="s">
        <v>81</v>
      </c>
      <c r="B68" s="2">
        <v>5.6842999458312899</v>
      </c>
      <c r="C68" s="2">
        <v>1.2401587963104199</v>
      </c>
      <c r="D68" s="2">
        <v>1.18723273277282</v>
      </c>
      <c r="E68" s="2">
        <v>0.32883268594741799</v>
      </c>
      <c r="F68" s="2">
        <v>0.64769327640533403</v>
      </c>
      <c r="G68" s="2">
        <v>5.9660565108060802E-2</v>
      </c>
      <c r="H68" s="2">
        <v>2024</v>
      </c>
      <c r="I68" s="2">
        <v>5.7842998504638601</v>
      </c>
      <c r="J68" s="2">
        <v>1.21705257892608</v>
      </c>
      <c r="K68" s="2">
        <v>1.1794114112853999</v>
      </c>
      <c r="L68" s="2">
        <v>0.48760786652565002</v>
      </c>
      <c r="M68" s="2">
        <v>0.71946114301681496</v>
      </c>
      <c r="N68" s="2">
        <v>6.08186088502407E-2</v>
      </c>
      <c r="O68" s="2">
        <v>2025</v>
      </c>
      <c r="P68" s="2">
        <v>0.1</v>
      </c>
    </row>
    <row r="69" spans="1:16" ht="14.4" customHeight="1" x14ac:dyDescent="0.3">
      <c r="A69" s="2" t="s">
        <v>82</v>
      </c>
      <c r="B69" s="2">
        <v>5.6606998443603498</v>
      </c>
      <c r="C69" s="2">
        <v>1.67955374717712</v>
      </c>
      <c r="D69" s="2">
        <v>1.38254523277282</v>
      </c>
      <c r="E69" s="2">
        <v>0.36557000875473</v>
      </c>
      <c r="F69" s="2">
        <v>0.44942495226860002</v>
      </c>
      <c r="G69" s="2">
        <v>9.14456471800804E-2</v>
      </c>
      <c r="H69" s="2">
        <v>2024</v>
      </c>
      <c r="I69" s="2">
        <v>5.7852997779846103</v>
      </c>
      <c r="J69" s="2">
        <v>1.6421922445297199</v>
      </c>
      <c r="K69" s="2">
        <v>1.35119092464447</v>
      </c>
      <c r="L69" s="2">
        <v>0.53135198354721003</v>
      </c>
      <c r="M69" s="2">
        <v>0.55145341157913197</v>
      </c>
      <c r="N69" s="2">
        <v>0.120527192950248</v>
      </c>
      <c r="O69" s="2">
        <v>2025</v>
      </c>
      <c r="P69" s="2">
        <v>0.1246</v>
      </c>
    </row>
    <row r="70" spans="1:16" ht="14.4" customHeight="1" x14ac:dyDescent="0.3">
      <c r="A70" s="2" t="s">
        <v>83</v>
      </c>
      <c r="B70" s="2">
        <v>5.6325001716613698</v>
      </c>
      <c r="C70" s="2">
        <v>1.4665228128433201</v>
      </c>
      <c r="D70" s="2">
        <v>1.3614246845245299</v>
      </c>
      <c r="E70" s="2">
        <v>0.428993910551071</v>
      </c>
      <c r="F70" s="2">
        <v>0.485051900148391</v>
      </c>
      <c r="G70" s="2">
        <v>8.2740448415279302E-3</v>
      </c>
      <c r="H70" s="2">
        <v>2024</v>
      </c>
      <c r="I70" s="2">
        <v>5.8769998550415004</v>
      </c>
      <c r="J70" s="2">
        <v>1.4647413492202701</v>
      </c>
      <c r="K70" s="2">
        <v>1.31812608242034</v>
      </c>
      <c r="L70" s="2">
        <v>0.58742433786392201</v>
      </c>
      <c r="M70" s="2">
        <v>0.62063795328140203</v>
      </c>
      <c r="N70" s="2">
        <v>0</v>
      </c>
      <c r="O70" s="2">
        <v>2025</v>
      </c>
      <c r="P70" s="2">
        <v>0.2445</v>
      </c>
    </row>
    <row r="71" spans="1:16" ht="14.4" customHeight="1" x14ac:dyDescent="0.3">
      <c r="A71" s="2" t="s">
        <v>84</v>
      </c>
      <c r="B71" s="2">
        <v>5.6304001808166504</v>
      </c>
      <c r="C71" s="2">
        <v>1.4552850723266599</v>
      </c>
      <c r="D71" s="2">
        <v>1.2133201360702499</v>
      </c>
      <c r="E71" s="2">
        <v>0.48552128672599698</v>
      </c>
      <c r="F71" s="2">
        <v>0.56239140033721902</v>
      </c>
      <c r="G71" s="2">
        <v>6.8434245884418404E-2</v>
      </c>
      <c r="H71" s="2">
        <v>2024</v>
      </c>
      <c r="I71" s="2">
        <v>5.6950998306274396</v>
      </c>
      <c r="J71" s="2">
        <v>1.43690550327301</v>
      </c>
      <c r="K71" s="2">
        <v>1.2406914234161299</v>
      </c>
      <c r="L71" s="2">
        <v>0.64767903089523304</v>
      </c>
      <c r="M71" s="2">
        <v>0.64391934871673495</v>
      </c>
      <c r="N71" s="2">
        <v>5.8607902377843801E-2</v>
      </c>
      <c r="O71" s="2">
        <v>2025</v>
      </c>
      <c r="P71" s="2">
        <v>6.4699999999999994E-2</v>
      </c>
    </row>
    <row r="72" spans="1:16" ht="14.4" customHeight="1" x14ac:dyDescent="0.3">
      <c r="A72" s="2" t="s">
        <v>85</v>
      </c>
      <c r="B72" s="2">
        <v>5.5689001083373997</v>
      </c>
      <c r="C72" s="2">
        <v>1.5363973379135101</v>
      </c>
      <c r="D72" s="2">
        <v>1.2269470691680899</v>
      </c>
      <c r="E72" s="2">
        <v>0.35063061118125899</v>
      </c>
      <c r="F72" s="2">
        <v>0.62328690290451005</v>
      </c>
      <c r="G72" s="2">
        <v>0.195035740733146</v>
      </c>
      <c r="H72" s="2">
        <v>2024</v>
      </c>
      <c r="I72" s="2">
        <v>5.8228001594543404</v>
      </c>
      <c r="J72" s="2">
        <v>1.5166972875595</v>
      </c>
      <c r="K72" s="2">
        <v>1.27151298522949</v>
      </c>
      <c r="L72" s="2">
        <v>0.51123809814453103</v>
      </c>
      <c r="M72" s="2">
        <v>0.729894399642944</v>
      </c>
      <c r="N72" s="2">
        <v>0.19556351006031</v>
      </c>
      <c r="O72" s="2">
        <v>2025</v>
      </c>
      <c r="P72" s="2">
        <v>0.25390000000000001</v>
      </c>
    </row>
    <row r="73" spans="1:16" ht="14.4" customHeight="1" x14ac:dyDescent="0.3">
      <c r="A73" s="2" t="s">
        <v>86</v>
      </c>
      <c r="B73" s="2">
        <v>5.5588998794555602</v>
      </c>
      <c r="C73" s="2">
        <v>1.34259140491485</v>
      </c>
      <c r="D73" s="2">
        <v>1.17311763763427</v>
      </c>
      <c r="E73" s="2">
        <v>0.47599956393241799</v>
      </c>
      <c r="F73" s="2">
        <v>0.55968713760375899</v>
      </c>
      <c r="G73" s="2">
        <v>6.9136716425418798E-2</v>
      </c>
      <c r="H73" s="2">
        <v>2024</v>
      </c>
      <c r="I73" s="2">
        <v>5.7245001792907697</v>
      </c>
      <c r="J73" s="2">
        <v>1.31546771526336</v>
      </c>
      <c r="K73" s="2">
        <v>1.1506501436233501</v>
      </c>
      <c r="L73" s="2">
        <v>0.64006090164184504</v>
      </c>
      <c r="M73" s="2">
        <v>0.60608112812042203</v>
      </c>
      <c r="N73" s="2">
        <v>7.8329697251319802E-2</v>
      </c>
      <c r="O73" s="2">
        <v>2025</v>
      </c>
      <c r="P73" s="2">
        <v>0.1656</v>
      </c>
    </row>
    <row r="74" spans="1:16" ht="14.4" customHeight="1" x14ac:dyDescent="0.3">
      <c r="A74" s="2" t="s">
        <v>87</v>
      </c>
      <c r="B74" s="2">
        <v>5.52589988708496</v>
      </c>
      <c r="C74" s="2">
        <v>1.3896845579147299</v>
      </c>
      <c r="D74" s="2">
        <v>1.15344333648681</v>
      </c>
      <c r="E74" s="2">
        <v>0.49914878606796198</v>
      </c>
      <c r="F74" s="2">
        <v>0.54922842979431097</v>
      </c>
      <c r="G74" s="2">
        <v>2.6772344484925201E-2</v>
      </c>
      <c r="H74" s="2">
        <v>2024</v>
      </c>
      <c r="I74" s="2">
        <v>5.8408999443054199</v>
      </c>
      <c r="J74" s="2">
        <v>1.3706018924713099</v>
      </c>
      <c r="K74" s="2">
        <v>1.1799687147140501</v>
      </c>
      <c r="L74" s="2">
        <v>0.66154378652572599</v>
      </c>
      <c r="M74" s="2">
        <v>0.61484372615814198</v>
      </c>
      <c r="N74" s="2">
        <v>2.8730554506182601E-2</v>
      </c>
      <c r="O74" s="2">
        <v>2025</v>
      </c>
      <c r="P74" s="2">
        <v>0.315</v>
      </c>
    </row>
    <row r="75" spans="1:16" ht="14.4" customHeight="1" x14ac:dyDescent="0.3">
      <c r="A75" s="2" t="s">
        <v>88</v>
      </c>
      <c r="B75" s="2">
        <v>5.5229001045226997</v>
      </c>
      <c r="C75" s="2">
        <v>1.23805320262908</v>
      </c>
      <c r="D75" s="2">
        <v>1.1078919172286901</v>
      </c>
      <c r="E75" s="2">
        <v>0.28628906607627802</v>
      </c>
      <c r="F75" s="2">
        <v>0.71447461843490601</v>
      </c>
      <c r="G75" s="2">
        <v>0.14110378921031899</v>
      </c>
      <c r="H75" s="2">
        <v>2024</v>
      </c>
      <c r="I75" s="2">
        <v>6.0475997924804599</v>
      </c>
      <c r="J75" s="2">
        <v>1.23194003105163</v>
      </c>
      <c r="K75" s="2">
        <v>1.1459598541259699</v>
      </c>
      <c r="L75" s="2">
        <v>0.441255062818527</v>
      </c>
      <c r="M75" s="2">
        <v>0.82627832889556796</v>
      </c>
      <c r="N75" s="2">
        <v>0.136026665568351</v>
      </c>
      <c r="O75" s="2">
        <v>2025</v>
      </c>
      <c r="P75" s="2">
        <v>0.52470000000000006</v>
      </c>
    </row>
    <row r="76" spans="1:16" ht="14.4" customHeight="1" x14ac:dyDescent="0.3">
      <c r="A76" s="2" t="s">
        <v>89</v>
      </c>
      <c r="B76" s="2">
        <v>5.4661002159118599</v>
      </c>
      <c r="C76" s="2">
        <v>1.6354175806045499</v>
      </c>
      <c r="D76" s="2">
        <v>1.4572725296020499</v>
      </c>
      <c r="E76" s="2">
        <v>0.40787062048911998</v>
      </c>
      <c r="F76" s="2">
        <v>0.557434141635894</v>
      </c>
      <c r="G76" s="2">
        <v>1.2971367686986901E-2</v>
      </c>
      <c r="H76" s="2">
        <v>2024</v>
      </c>
      <c r="I76" s="2">
        <v>5.4626998901367099</v>
      </c>
      <c r="J76" s="2">
        <v>1.6293822526931701</v>
      </c>
      <c r="K76" s="2">
        <v>1.46877896785736</v>
      </c>
      <c r="L76" s="2">
        <v>0.56662088632583596</v>
      </c>
      <c r="M76" s="2">
        <v>0.62039607763290405</v>
      </c>
      <c r="N76" s="2">
        <v>6.1505655758082797E-3</v>
      </c>
      <c r="O76" s="2">
        <v>2025</v>
      </c>
      <c r="P76" s="2">
        <v>-3.3999999999999998E-3</v>
      </c>
    </row>
    <row r="77" spans="1:16" ht="14.4" customHeight="1" x14ac:dyDescent="0.3">
      <c r="A77" s="2" t="s">
        <v>90</v>
      </c>
      <c r="B77" s="2">
        <v>5.3603000640869096</v>
      </c>
      <c r="C77" s="2">
        <v>0.97885167598724299</v>
      </c>
      <c r="D77" s="2">
        <v>1.0268685817718499</v>
      </c>
      <c r="E77" s="2">
        <v>0.28109809756278897</v>
      </c>
      <c r="F77" s="2">
        <v>0.56729882955551103</v>
      </c>
      <c r="G77" s="2">
        <v>0.104369796812534</v>
      </c>
      <c r="H77" s="2">
        <v>2024</v>
      </c>
      <c r="I77" s="2">
        <v>5.1584000587463299</v>
      </c>
      <c r="J77" s="2">
        <v>0.96536391973495395</v>
      </c>
      <c r="K77" s="2">
        <v>0.99018365144729603</v>
      </c>
      <c r="L77" s="2">
        <v>0.44261762499809199</v>
      </c>
      <c r="M77" s="2">
        <v>0.65291428565979004</v>
      </c>
      <c r="N77" s="2">
        <v>0.114913694560527</v>
      </c>
      <c r="O77" s="2">
        <v>2025</v>
      </c>
      <c r="P77" s="2">
        <v>-0.2019</v>
      </c>
    </row>
    <row r="78" spans="1:16" ht="14.4" customHeight="1" x14ac:dyDescent="0.3">
      <c r="A78" s="2" t="s">
        <v>91</v>
      </c>
      <c r="B78" s="2">
        <v>5.3417000770568803</v>
      </c>
      <c r="C78" s="2">
        <v>1.4661458730697601</v>
      </c>
      <c r="D78" s="2">
        <v>1.1339071989059399</v>
      </c>
      <c r="E78" s="2">
        <v>0.44299700856208801</v>
      </c>
      <c r="F78" s="2">
        <v>0.55087178945541304</v>
      </c>
      <c r="G78" s="2">
        <v>0.160197094082832</v>
      </c>
      <c r="H78" s="2">
        <v>2024</v>
      </c>
      <c r="I78" s="2">
        <v>5.4548997879028303</v>
      </c>
      <c r="J78" s="2">
        <v>1.4435883760452199</v>
      </c>
      <c r="K78" s="2">
        <v>1.15443992614746</v>
      </c>
      <c r="L78" s="2">
        <v>0.60340416431427002</v>
      </c>
      <c r="M78" s="2">
        <v>0.65023398399353005</v>
      </c>
      <c r="N78" s="2">
        <v>0.17305009067058499</v>
      </c>
      <c r="O78" s="2">
        <v>2025</v>
      </c>
      <c r="P78" s="2">
        <v>0.1132</v>
      </c>
    </row>
    <row r="79" spans="1:16" ht="14.4" customHeight="1" x14ac:dyDescent="0.3">
      <c r="A79" s="2" t="s">
        <v>92</v>
      </c>
      <c r="B79" s="2">
        <v>5.3298001289367596</v>
      </c>
      <c r="C79" s="2">
        <v>0.97186571359634399</v>
      </c>
      <c r="D79" s="2">
        <v>1.2484393119812001</v>
      </c>
      <c r="E79" s="2">
        <v>0.29141175746917702</v>
      </c>
      <c r="F79" s="2">
        <v>0.59930676221847501</v>
      </c>
      <c r="G79" s="2">
        <v>0.29188746213912897</v>
      </c>
      <c r="H79" s="2">
        <v>2024</v>
      </c>
      <c r="I79" s="2">
        <v>5.28070020675659</v>
      </c>
      <c r="J79" s="2"/>
      <c r="K79" s="2"/>
      <c r="L79" s="2"/>
      <c r="M79" s="2"/>
      <c r="N79" s="2"/>
      <c r="O79" s="2">
        <v>2025</v>
      </c>
      <c r="P79" s="2">
        <v>-4.9099999999999998E-2</v>
      </c>
    </row>
    <row r="80" spans="1:16" ht="14.4" customHeight="1" x14ac:dyDescent="0.3">
      <c r="A80" s="2" t="s">
        <v>93</v>
      </c>
      <c r="B80" s="2">
        <v>5.3291001319885201</v>
      </c>
      <c r="C80" s="2">
        <v>1.3533517122268599</v>
      </c>
      <c r="D80" s="2">
        <v>1.29806816577911</v>
      </c>
      <c r="E80" s="2">
        <v>0.40921828150749201</v>
      </c>
      <c r="F80" s="2">
        <v>0.25230395793914701</v>
      </c>
      <c r="G80" s="2">
        <v>0.151979714632034</v>
      </c>
      <c r="H80" s="2">
        <v>2024</v>
      </c>
      <c r="I80" s="2">
        <v>5.3635001182556099</v>
      </c>
      <c r="J80" s="2">
        <v>1.3235404491424501</v>
      </c>
      <c r="K80" s="2">
        <v>1.19060742855072</v>
      </c>
      <c r="L80" s="2">
        <v>0.56790047883987405</v>
      </c>
      <c r="M80" s="2">
        <v>0.24701155722141199</v>
      </c>
      <c r="N80" s="2">
        <v>0.199996292591094</v>
      </c>
      <c r="O80" s="2">
        <v>2025</v>
      </c>
      <c r="P80" s="2">
        <v>3.44E-2</v>
      </c>
    </row>
    <row r="81" spans="1:16" ht="14.4" customHeight="1" x14ac:dyDescent="0.3">
      <c r="A81" s="2" t="s">
        <v>94</v>
      </c>
      <c r="B81" s="2">
        <v>5.3084998130798304</v>
      </c>
      <c r="C81" s="2">
        <v>1.9509402513503999</v>
      </c>
      <c r="D81" s="2">
        <v>1.2013361454010001</v>
      </c>
      <c r="E81" s="2">
        <v>0.70158988237380904</v>
      </c>
      <c r="F81" s="2">
        <v>0.40679728984832703</v>
      </c>
      <c r="G81" s="2">
        <v>0.38999292254447898</v>
      </c>
      <c r="H81" s="2">
        <v>2024</v>
      </c>
      <c r="I81" s="2">
        <v>5.3164000511169398</v>
      </c>
      <c r="J81" s="2">
        <v>1.9087110757827701</v>
      </c>
      <c r="K81" s="2">
        <v>1.1844797134399401</v>
      </c>
      <c r="L81" s="2">
        <v>0.85731542110443104</v>
      </c>
      <c r="M81" s="2">
        <v>0.48470968008041299</v>
      </c>
      <c r="N81" s="2">
        <v>0.401614218950271</v>
      </c>
      <c r="O81" s="2">
        <v>2025</v>
      </c>
      <c r="P81" s="2">
        <v>7.9000000000000008E-3</v>
      </c>
    </row>
    <row r="82" spans="1:16" ht="14.4" customHeight="1" x14ac:dyDescent="0.3">
      <c r="A82" s="2" t="s">
        <v>95</v>
      </c>
      <c r="B82" s="2">
        <v>5.27729988098144</v>
      </c>
      <c r="C82" s="2">
        <v>1.44920337200164</v>
      </c>
      <c r="D82" s="2">
        <v>0.95122051239013605</v>
      </c>
      <c r="E82" s="2">
        <v>0.48008245229721003</v>
      </c>
      <c r="F82" s="2">
        <v>0.549172103404998</v>
      </c>
      <c r="G82" s="2">
        <v>3.65266352891922E-2</v>
      </c>
      <c r="H82" s="2">
        <v>2024</v>
      </c>
      <c r="I82" s="2">
        <v>5.3042001724243102</v>
      </c>
      <c r="J82" s="2">
        <v>1.43788886070251</v>
      </c>
      <c r="K82" s="2">
        <v>0.92357259988784701</v>
      </c>
      <c r="L82" s="2">
        <v>0.63798749446868896</v>
      </c>
      <c r="M82" s="2">
        <v>0.68972975015640203</v>
      </c>
      <c r="N82" s="2">
        <v>4.8980724066495798E-2</v>
      </c>
      <c r="O82" s="2">
        <v>2025</v>
      </c>
      <c r="P82" s="2">
        <v>2.69E-2</v>
      </c>
    </row>
    <row r="83" spans="1:16" ht="14.4" customHeight="1" x14ac:dyDescent="0.3">
      <c r="A83" s="2" t="s">
        <v>96</v>
      </c>
      <c r="B83" s="2">
        <v>5.2768998146057102</v>
      </c>
      <c r="C83" s="2">
        <v>1.38381588459014</v>
      </c>
      <c r="D83" s="2">
        <v>1.16865015029907</v>
      </c>
      <c r="E83" s="2">
        <v>0.31381440162658603</v>
      </c>
      <c r="F83" s="2">
        <v>0.66332942247390703</v>
      </c>
      <c r="G83" s="2">
        <v>3.8032881915569298E-2</v>
      </c>
      <c r="H83" s="2">
        <v>2024</v>
      </c>
      <c r="I83" s="2">
        <v>5.5682997703552202</v>
      </c>
      <c r="J83" s="2">
        <v>1.36149454116821</v>
      </c>
      <c r="K83" s="2">
        <v>1.1842628717422401</v>
      </c>
      <c r="L83" s="2">
        <v>0.47167095541954002</v>
      </c>
      <c r="M83" s="2">
        <v>0.77944535017013505</v>
      </c>
      <c r="N83" s="2">
        <v>5.4712675511836999E-2</v>
      </c>
      <c r="O83" s="2">
        <v>2025</v>
      </c>
      <c r="P83" s="2">
        <v>0.29139999999999999</v>
      </c>
    </row>
    <row r="84" spans="1:16" ht="14.4" customHeight="1" x14ac:dyDescent="0.3">
      <c r="A84" s="2" t="s">
        <v>97</v>
      </c>
      <c r="B84" s="2">
        <v>5.2746000289916903</v>
      </c>
      <c r="C84" s="2">
        <v>1.4169476032257</v>
      </c>
      <c r="D84" s="2">
        <v>1.4279369115829399</v>
      </c>
      <c r="E84" s="2">
        <v>0.148733004927635</v>
      </c>
      <c r="F84" s="2">
        <v>0.46367108821868802</v>
      </c>
      <c r="G84" s="2">
        <v>1.9301136955618799E-2</v>
      </c>
      <c r="H84" s="2">
        <v>2024</v>
      </c>
      <c r="I84" s="2">
        <v>5.4219999313354403</v>
      </c>
      <c r="J84" s="2">
        <v>1.3891060352325399</v>
      </c>
      <c r="K84" s="2">
        <v>1.36926209926605</v>
      </c>
      <c r="L84" s="2">
        <v>0.32189443707466098</v>
      </c>
      <c r="M84" s="2">
        <v>0.53659015893936102</v>
      </c>
      <c r="N84" s="2">
        <v>3.39806377887725E-2</v>
      </c>
      <c r="O84" s="2">
        <v>2025</v>
      </c>
      <c r="P84" s="2">
        <v>0.1474</v>
      </c>
    </row>
    <row r="85" spans="1:16" ht="14.4" customHeight="1" x14ac:dyDescent="0.3">
      <c r="A85" s="2" t="s">
        <v>98</v>
      </c>
      <c r="B85" s="2">
        <v>5.2670998573303196</v>
      </c>
      <c r="C85" s="2">
        <v>0.92117816209793002</v>
      </c>
      <c r="D85" s="2">
        <v>0.66501230001449496</v>
      </c>
      <c r="E85" s="2">
        <v>0.14494769275188399</v>
      </c>
      <c r="F85" s="2">
        <v>0.46362507343292197</v>
      </c>
      <c r="G85" s="2">
        <v>0.13602150976657801</v>
      </c>
      <c r="H85" s="2">
        <v>2024</v>
      </c>
      <c r="I85" s="2">
        <v>5.2214999198913503</v>
      </c>
      <c r="J85" s="2">
        <v>0.89234101772308305</v>
      </c>
      <c r="K85" s="2">
        <v>0.62188696861267001</v>
      </c>
      <c r="L85" s="2">
        <v>0.30558526515960599</v>
      </c>
      <c r="M85" s="2">
        <v>0.52273505926132202</v>
      </c>
      <c r="N85" s="2">
        <v>0.13767823576927099</v>
      </c>
      <c r="O85" s="2">
        <v>2025</v>
      </c>
      <c r="P85" s="2">
        <v>-4.5600000000000002E-2</v>
      </c>
    </row>
    <row r="86" spans="1:16" ht="14.4" customHeight="1" x14ac:dyDescent="0.3">
      <c r="A86" s="2" t="s">
        <v>99</v>
      </c>
      <c r="B86" s="2">
        <v>5.25360012054443</v>
      </c>
      <c r="C86" s="2">
        <v>1.4978708028793299</v>
      </c>
      <c r="D86" s="2">
        <v>1.1705783605575499</v>
      </c>
      <c r="E86" s="2">
        <v>0.40788641571998502</v>
      </c>
      <c r="F86" s="2">
        <v>0.51541930437088002</v>
      </c>
      <c r="G86" s="2">
        <v>1.9607203081250101E-2</v>
      </c>
      <c r="H86" s="2">
        <v>2024</v>
      </c>
      <c r="I86" s="2">
        <v>5.3691000938415501</v>
      </c>
      <c r="J86" s="2">
        <v>1.47530877590179</v>
      </c>
      <c r="K86" s="2">
        <v>1.2765878438949501</v>
      </c>
      <c r="L86" s="2">
        <v>0.56937772035598699</v>
      </c>
      <c r="M86" s="2">
        <v>0.57972711324691695</v>
      </c>
      <c r="N86" s="2">
        <v>1.4632130973041E-2</v>
      </c>
      <c r="O86" s="2">
        <v>2025</v>
      </c>
      <c r="P86" s="2">
        <v>0.11550000000000001</v>
      </c>
    </row>
    <row r="87" spans="1:16" ht="14.4" customHeight="1" x14ac:dyDescent="0.3">
      <c r="A87" s="2" t="s">
        <v>100</v>
      </c>
      <c r="B87" s="2">
        <v>5.2105998992919904</v>
      </c>
      <c r="C87" s="2">
        <v>0</v>
      </c>
      <c r="D87" s="2">
        <v>1.25665760040283</v>
      </c>
      <c r="E87" s="2">
        <v>0.34111803770065302</v>
      </c>
      <c r="F87" s="2">
        <v>0.36869797110557501</v>
      </c>
      <c r="G87" s="2">
        <v>8.42720121145248E-2</v>
      </c>
      <c r="H87" s="2">
        <v>2024</v>
      </c>
      <c r="I87" s="2">
        <v>5.6066999435424796</v>
      </c>
      <c r="J87" s="2">
        <v>0</v>
      </c>
      <c r="K87" s="2">
        <v>1.32135021686553</v>
      </c>
      <c r="L87" s="2">
        <v>0.49113830924034102</v>
      </c>
      <c r="M87" s="2">
        <v>0.51791286468505804</v>
      </c>
      <c r="N87" s="2">
        <v>8.6161896586418096E-2</v>
      </c>
      <c r="O87" s="2">
        <v>2025</v>
      </c>
      <c r="P87" s="2">
        <v>0.39610000000000001</v>
      </c>
    </row>
    <row r="88" spans="1:16" ht="14.4" customHeight="1" x14ac:dyDescent="0.3">
      <c r="A88" s="2" t="s">
        <v>101</v>
      </c>
      <c r="B88" s="2">
        <v>5.1107001304626403</v>
      </c>
      <c r="C88" s="2">
        <v>1.23219907283782</v>
      </c>
      <c r="D88" s="2">
        <v>0.85280114412307695</v>
      </c>
      <c r="E88" s="2">
        <v>0.256537616252899</v>
      </c>
      <c r="F88" s="2">
        <v>0.71488410234451205</v>
      </c>
      <c r="G88" s="2">
        <v>0.162282899022102</v>
      </c>
      <c r="H88" s="2">
        <v>2024</v>
      </c>
      <c r="I88" s="2">
        <v>5.1388998031616202</v>
      </c>
      <c r="J88" s="2">
        <v>1.20846831798553</v>
      </c>
      <c r="K88" s="2">
        <v>0.84629791975021296</v>
      </c>
      <c r="L88" s="2">
        <v>0.422912657260894</v>
      </c>
      <c r="M88" s="2">
        <v>0.79646611213684004</v>
      </c>
      <c r="N88" s="2">
        <v>0.166541323065757</v>
      </c>
      <c r="O88" s="2">
        <v>2025</v>
      </c>
      <c r="P88" s="2">
        <v>2.8199999999999999E-2</v>
      </c>
    </row>
    <row r="89" spans="1:16" ht="14.4" customHeight="1" x14ac:dyDescent="0.3">
      <c r="A89" s="2" t="s">
        <v>102</v>
      </c>
      <c r="B89" s="2">
        <v>5.1090998649597097</v>
      </c>
      <c r="C89" s="2">
        <v>1.47746133804321</v>
      </c>
      <c r="D89" s="2">
        <v>0.94683098793029696</v>
      </c>
      <c r="E89" s="2">
        <v>0.365646302700042</v>
      </c>
      <c r="F89" s="2">
        <v>0.538715779781341</v>
      </c>
      <c r="G89" s="2">
        <v>0.20069587230682301</v>
      </c>
      <c r="H89" s="2">
        <v>2024</v>
      </c>
      <c r="I89" s="2">
        <v>5.1847000122070304</v>
      </c>
      <c r="J89" s="2">
        <v>1.4669232368469201</v>
      </c>
      <c r="K89" s="2">
        <v>0.99001115560531605</v>
      </c>
      <c r="L89" s="2">
        <v>0.52437627315521196</v>
      </c>
      <c r="M89" s="2">
        <v>0.67981415987014704</v>
      </c>
      <c r="N89" s="2">
        <v>0.17428675293922399</v>
      </c>
      <c r="O89" s="2">
        <v>2025</v>
      </c>
      <c r="P89" s="2">
        <v>7.5600000000000001E-2</v>
      </c>
    </row>
    <row r="90" spans="1:16" ht="14.4" customHeight="1" x14ac:dyDescent="0.3">
      <c r="A90" s="2" t="s">
        <v>103</v>
      </c>
      <c r="B90" s="2">
        <v>5.0717000961303702</v>
      </c>
      <c r="C90" s="2">
        <v>0.84417241811752297</v>
      </c>
      <c r="D90" s="2">
        <v>0.77622723579406705</v>
      </c>
      <c r="E90" s="2">
        <v>7.2344861924648202E-2</v>
      </c>
      <c r="F90" s="2">
        <v>0.36870914697647</v>
      </c>
      <c r="G90" s="2">
        <v>0.10179644078016201</v>
      </c>
      <c r="H90" s="2">
        <v>2024</v>
      </c>
      <c r="I90" s="2">
        <v>5.0233001708984304</v>
      </c>
      <c r="J90" s="2">
        <v>0.83056735992431596</v>
      </c>
      <c r="K90" s="2">
        <v>0.621612608432769</v>
      </c>
      <c r="L90" s="2">
        <v>0.23553006350994099</v>
      </c>
      <c r="M90" s="2">
        <v>0.52128487825393599</v>
      </c>
      <c r="N90" s="2">
        <v>0.107446826994419</v>
      </c>
      <c r="O90" s="2">
        <v>2025</v>
      </c>
      <c r="P90" s="2">
        <v>-4.8399999999999999E-2</v>
      </c>
    </row>
    <row r="91" spans="1:16" ht="14.4" customHeight="1" x14ac:dyDescent="0.3">
      <c r="A91" s="2" t="s">
        <v>104</v>
      </c>
      <c r="B91" s="2">
        <v>5.0714001655578604</v>
      </c>
      <c r="C91" s="2">
        <v>1.35819423198699</v>
      </c>
      <c r="D91" s="2">
        <v>1.3544168472289999</v>
      </c>
      <c r="E91" s="2">
        <v>0.35475051403045599</v>
      </c>
      <c r="F91" s="2">
        <v>0.55063086748123102</v>
      </c>
      <c r="G91" s="2">
        <v>1.6009135171771001E-2</v>
      </c>
      <c r="H91" s="2">
        <v>2024</v>
      </c>
      <c r="I91" s="2">
        <v>4.8730001449584899</v>
      </c>
      <c r="J91" s="2">
        <v>1.34989845752716</v>
      </c>
      <c r="K91" s="2">
        <v>1.31527411937713</v>
      </c>
      <c r="L91" s="2">
        <v>0.51329267024993896</v>
      </c>
      <c r="M91" s="2">
        <v>0.63064908981323198</v>
      </c>
      <c r="N91" s="2">
        <v>2.53875665366649E-2</v>
      </c>
      <c r="O91" s="2">
        <v>2025</v>
      </c>
      <c r="P91" s="2">
        <v>-0.19839999999999999</v>
      </c>
    </row>
    <row r="92" spans="1:16" ht="14.4" customHeight="1" x14ac:dyDescent="0.3">
      <c r="A92" s="2" t="s">
        <v>105</v>
      </c>
      <c r="B92" s="2">
        <v>5.0527000427245996</v>
      </c>
      <c r="C92" s="2">
        <v>1.0937527418136499</v>
      </c>
      <c r="D92" s="2">
        <v>0.58353066444396895</v>
      </c>
      <c r="E92" s="2">
        <v>0.120498411357402</v>
      </c>
      <c r="F92" s="2">
        <v>0.46710219979286099</v>
      </c>
      <c r="G92" s="2">
        <v>0.13124768435955</v>
      </c>
      <c r="H92" s="2">
        <v>2024</v>
      </c>
      <c r="I92" s="2">
        <v>5.0801000595092702</v>
      </c>
      <c r="J92" s="2">
        <v>1.0801311731338501</v>
      </c>
      <c r="K92" s="2">
        <v>0.57763051986694303</v>
      </c>
      <c r="L92" s="2">
        <v>0.28758215904235801</v>
      </c>
      <c r="M92" s="2">
        <v>0.54695111513137795</v>
      </c>
      <c r="N92" s="2">
        <v>0.16406969726085599</v>
      </c>
      <c r="O92" s="2">
        <v>2025</v>
      </c>
      <c r="P92" s="2">
        <v>2.7400000000000001E-2</v>
      </c>
    </row>
    <row r="93" spans="1:16" ht="14.4" customHeight="1" x14ac:dyDescent="0.3">
      <c r="A93" s="2" t="s">
        <v>106</v>
      </c>
      <c r="B93" s="2">
        <v>5.0346999168395996</v>
      </c>
      <c r="C93" s="2">
        <v>1.4384474754333401</v>
      </c>
      <c r="D93" s="2">
        <v>1.0209374427795399</v>
      </c>
      <c r="E93" s="2">
        <v>0.18314057588577201</v>
      </c>
      <c r="F93" s="2">
        <v>0.346164971590042</v>
      </c>
      <c r="G93" s="2">
        <v>0.102264784276485</v>
      </c>
      <c r="H93" s="2">
        <v>2024</v>
      </c>
      <c r="I93" s="2">
        <v>5.1062998771667401</v>
      </c>
      <c r="J93" s="2">
        <v>1.40343749523162</v>
      </c>
      <c r="K93" s="2">
        <v>1.0376240015029901</v>
      </c>
      <c r="L93" s="2">
        <v>0.344291061162948</v>
      </c>
      <c r="M93" s="2">
        <v>0.51581484079360895</v>
      </c>
      <c r="N93" s="2">
        <v>9.9869810044765403E-2</v>
      </c>
      <c r="O93" s="2">
        <v>2025</v>
      </c>
      <c r="P93" s="2">
        <v>7.1599999999999997E-2</v>
      </c>
    </row>
    <row r="94" spans="1:16" ht="14.4" customHeight="1" x14ac:dyDescent="0.3">
      <c r="A94" s="2" t="s">
        <v>107</v>
      </c>
      <c r="B94" s="2">
        <v>4.9805998802184996</v>
      </c>
      <c r="C94" s="2">
        <v>1.06486499309539</v>
      </c>
      <c r="D94" s="2">
        <v>1.00654864311218</v>
      </c>
      <c r="E94" s="2">
        <v>9.1565556824207306E-2</v>
      </c>
      <c r="F94" s="2">
        <v>0.44813883304595897</v>
      </c>
      <c r="G94" s="2">
        <v>1.2837098911404599E-2</v>
      </c>
      <c r="H94" s="2">
        <v>2024</v>
      </c>
      <c r="I94" s="2">
        <v>4.8807997703552202</v>
      </c>
      <c r="J94" s="2">
        <v>1.04177117347717</v>
      </c>
      <c r="K94" s="2">
        <v>1.0754878520965501</v>
      </c>
      <c r="L94" s="2">
        <v>0.25557792186736999</v>
      </c>
      <c r="M94" s="2">
        <v>0.56580913066864003</v>
      </c>
      <c r="N94" s="2">
        <v>1.8978452309966001E-2</v>
      </c>
      <c r="O94" s="2">
        <v>2025</v>
      </c>
      <c r="P94" s="2">
        <v>-9.98E-2</v>
      </c>
    </row>
    <row r="95" spans="1:16" ht="14.4" customHeight="1" x14ac:dyDescent="0.3">
      <c r="A95" s="2" t="s">
        <v>108</v>
      </c>
      <c r="B95" s="2">
        <v>4.9731998443603498</v>
      </c>
      <c r="C95" s="2">
        <v>0.96477019786834695</v>
      </c>
      <c r="D95" s="2">
        <v>0.87120127677917403</v>
      </c>
      <c r="E95" s="2">
        <v>0.11762183159589699</v>
      </c>
      <c r="F95" s="2">
        <v>0.405388623476028</v>
      </c>
      <c r="G95" s="2">
        <v>5.9253148734569501E-2</v>
      </c>
      <c r="H95" s="2">
        <v>2024</v>
      </c>
      <c r="I95" s="2">
        <v>4.8744001388549796</v>
      </c>
      <c r="J95" s="2">
        <v>0.94324433803558305</v>
      </c>
      <c r="K95" s="2">
        <v>0.85600453615188599</v>
      </c>
      <c r="L95" s="2">
        <v>0.28758153319358798</v>
      </c>
      <c r="M95" s="2">
        <v>0.52122795581817605</v>
      </c>
      <c r="N95" s="2">
        <v>6.0311041772365501E-2</v>
      </c>
      <c r="O95" s="2">
        <v>2025</v>
      </c>
      <c r="P95" s="2">
        <v>-9.8799999999999999E-2</v>
      </c>
    </row>
    <row r="96" spans="1:16" ht="14.4" customHeight="1" x14ac:dyDescent="0.3">
      <c r="A96" s="2" t="s">
        <v>109</v>
      </c>
      <c r="B96" s="2">
        <v>4.9539999961853001</v>
      </c>
      <c r="C96" s="2">
        <v>0.57009738683700495</v>
      </c>
      <c r="D96" s="2">
        <v>0.88530945777893</v>
      </c>
      <c r="E96" s="2">
        <v>0</v>
      </c>
      <c r="F96" s="2">
        <v>0.625213682651519</v>
      </c>
      <c r="G96" s="2">
        <v>0.19241021573543499</v>
      </c>
      <c r="H96" s="2">
        <v>2024</v>
      </c>
      <c r="I96" s="2">
        <v>5.2164001464843697</v>
      </c>
      <c r="J96" s="2">
        <v>0.55976742506027199</v>
      </c>
      <c r="K96" s="2">
        <v>0.88307136297225897</v>
      </c>
      <c r="L96" s="2">
        <v>0.15556660294532701</v>
      </c>
      <c r="M96" s="2">
        <v>0.72811126708984297</v>
      </c>
      <c r="N96" s="2">
        <v>0.196171134710311</v>
      </c>
      <c r="O96" s="2">
        <v>2025</v>
      </c>
      <c r="P96" s="2">
        <v>0.26240000000000002</v>
      </c>
    </row>
    <row r="97" spans="1:16" ht="14.4" customHeight="1" x14ac:dyDescent="0.3">
      <c r="A97" s="2" t="s">
        <v>110</v>
      </c>
      <c r="B97" s="2">
        <v>4.9408998489379803</v>
      </c>
      <c r="C97" s="2">
        <v>1.28098344802856</v>
      </c>
      <c r="D97" s="2">
        <v>0.95259380340576105</v>
      </c>
      <c r="E97" s="2">
        <v>0.323813617229461</v>
      </c>
      <c r="F97" s="2">
        <v>0.35148400068282998</v>
      </c>
      <c r="G97" s="2">
        <v>3.7837091833353001E-2</v>
      </c>
      <c r="H97" s="2">
        <v>2024</v>
      </c>
      <c r="I97" s="2">
        <v>5.1659998893737704</v>
      </c>
      <c r="J97" s="2">
        <v>1.24870264530181</v>
      </c>
      <c r="K97" s="2">
        <v>0.99594837427139205</v>
      </c>
      <c r="L97" s="2">
        <v>0.49819964170455899</v>
      </c>
      <c r="M97" s="2">
        <v>0.42452463507652199</v>
      </c>
      <c r="N97" s="2">
        <v>4.78198565542697E-2</v>
      </c>
      <c r="O97" s="2">
        <v>2025</v>
      </c>
      <c r="P97" s="2">
        <v>0.22509999999999999</v>
      </c>
    </row>
    <row r="98" spans="1:16" ht="14.4" customHeight="1" x14ac:dyDescent="0.3">
      <c r="A98" s="2" t="s">
        <v>111</v>
      </c>
      <c r="B98" s="2">
        <v>4.9078001976013104</v>
      </c>
      <c r="C98" s="2">
        <v>1.14396047592163</v>
      </c>
      <c r="D98" s="2">
        <v>1.3088682889938299</v>
      </c>
      <c r="E98" s="2">
        <v>0.25700000000000001</v>
      </c>
      <c r="F98" s="2">
        <v>0.41632840037345797</v>
      </c>
      <c r="G98" s="2">
        <v>6.6823787987232194E-2</v>
      </c>
      <c r="H98" s="2">
        <v>2024</v>
      </c>
      <c r="I98" s="2">
        <v>4.8794999122619602</v>
      </c>
      <c r="J98" s="2">
        <v>1.2130000000000001</v>
      </c>
      <c r="K98" s="2">
        <v>0.94199999999999995</v>
      </c>
      <c r="L98" s="2">
        <v>0.51200000000000001</v>
      </c>
      <c r="M98" s="2">
        <v>0.71299999999999997</v>
      </c>
      <c r="N98" s="2">
        <v>3.1300000000000001E-2</v>
      </c>
      <c r="O98" s="2">
        <v>2025</v>
      </c>
      <c r="P98" s="2">
        <v>-2.8299999999999999E-2</v>
      </c>
    </row>
    <row r="99" spans="1:16" ht="14.4" customHeight="1" x14ac:dyDescent="0.3">
      <c r="A99" s="2" t="s">
        <v>112</v>
      </c>
      <c r="B99" s="2">
        <v>4.9028000831604004</v>
      </c>
      <c r="C99" s="2">
        <v>1.2360212802886901</v>
      </c>
      <c r="D99" s="2">
        <v>0.53493446111678999</v>
      </c>
      <c r="E99" s="2">
        <v>0.33705666661262501</v>
      </c>
      <c r="F99" s="2">
        <v>0.53979688882827703</v>
      </c>
      <c r="G99" s="2">
        <v>8.4708675742149298E-2</v>
      </c>
      <c r="H99" s="2">
        <v>2024</v>
      </c>
      <c r="I99" s="2">
        <v>4.7947001457214302</v>
      </c>
      <c r="J99" s="2">
        <v>1.2134435176849301</v>
      </c>
      <c r="K99" s="2">
        <v>0.471052646636962</v>
      </c>
      <c r="L99" s="2">
        <v>0.49464035034179599</v>
      </c>
      <c r="M99" s="2">
        <v>0.63110250234603804</v>
      </c>
      <c r="N99" s="2">
        <v>8.1818021833896595E-2</v>
      </c>
      <c r="O99" s="2">
        <v>2025</v>
      </c>
      <c r="P99" s="2">
        <v>-0.1081</v>
      </c>
    </row>
    <row r="100" spans="1:16" ht="14.4" customHeight="1" x14ac:dyDescent="0.3">
      <c r="A100" s="2" t="s">
        <v>113</v>
      </c>
      <c r="B100" s="2">
        <v>4.8762998580932599</v>
      </c>
      <c r="C100" s="2">
        <v>1.46457159519195</v>
      </c>
      <c r="D100" s="2">
        <v>1.10186779499053</v>
      </c>
      <c r="E100" s="2">
        <v>0.410600036382675</v>
      </c>
      <c r="F100" s="2">
        <v>0.28067740797996499</v>
      </c>
      <c r="G100" s="2">
        <v>0.130402266979217</v>
      </c>
      <c r="H100" s="2">
        <v>2024</v>
      </c>
      <c r="I100" s="2">
        <v>4.9228000640869096</v>
      </c>
      <c r="J100" s="2">
        <v>1.4351887702941799</v>
      </c>
      <c r="K100" s="2">
        <v>1.13619768619537</v>
      </c>
      <c r="L100" s="2">
        <v>0.57078373432159402</v>
      </c>
      <c r="M100" s="2">
        <v>0.36550146341323803</v>
      </c>
      <c r="N100" s="2">
        <v>0.123442947864532</v>
      </c>
      <c r="O100" s="2">
        <v>2025</v>
      </c>
      <c r="P100" s="2">
        <v>4.65E-2</v>
      </c>
    </row>
    <row r="101" spans="1:16" ht="14.4" customHeight="1" x14ac:dyDescent="0.3">
      <c r="A101" s="2" t="s">
        <v>114</v>
      </c>
      <c r="B101" s="2">
        <v>4.8551001548767001</v>
      </c>
      <c r="C101" s="2">
        <v>0.942726910114288</v>
      </c>
      <c r="D101" s="2">
        <v>0.72735673189163197</v>
      </c>
      <c r="E101" s="2">
        <v>0.23074440658092499</v>
      </c>
      <c r="F101" s="2">
        <v>0.51893728971481301</v>
      </c>
      <c r="G101" s="2">
        <v>5.9591487050056402E-2</v>
      </c>
      <c r="H101" s="2">
        <v>2024</v>
      </c>
      <c r="I101" s="2">
        <v>4.9685997962951598</v>
      </c>
      <c r="J101" s="2">
        <v>0.92735916376113803</v>
      </c>
      <c r="K101" s="2">
        <v>0.75067895650863603</v>
      </c>
      <c r="L101" s="2">
        <v>0.39214456081390298</v>
      </c>
      <c r="M101" s="2">
        <v>0.60675263404846103</v>
      </c>
      <c r="N101" s="2">
        <v>6.8683110177516896E-2</v>
      </c>
      <c r="O101" s="2">
        <v>2025</v>
      </c>
      <c r="P101" s="2">
        <v>0.1135</v>
      </c>
    </row>
    <row r="102" spans="1:16" ht="14.4" customHeight="1" x14ac:dyDescent="0.3">
      <c r="A102" s="2" t="s">
        <v>115</v>
      </c>
      <c r="B102" s="2">
        <v>4.7238998413085902</v>
      </c>
      <c r="C102" s="2">
        <v>1.0989632606506301</v>
      </c>
      <c r="D102" s="2">
        <v>0.76425421237945501</v>
      </c>
      <c r="E102" s="2">
        <v>0.24371562898158999</v>
      </c>
      <c r="F102" s="2">
        <v>0.32014030218124301</v>
      </c>
      <c r="G102" s="2">
        <v>0.19465650618076299</v>
      </c>
      <c r="H102" s="2">
        <v>2024</v>
      </c>
      <c r="I102" s="2">
        <v>4.5050997734069798</v>
      </c>
      <c r="J102" s="2">
        <v>1.07766008377075</v>
      </c>
      <c r="K102" s="2">
        <v>0.70462977886199896</v>
      </c>
      <c r="L102" s="2">
        <v>0.400081187486648</v>
      </c>
      <c r="M102" s="2">
        <v>0.34259742498397799</v>
      </c>
      <c r="N102" s="2">
        <v>0.19847542047500599</v>
      </c>
      <c r="O102" s="2">
        <v>2025</v>
      </c>
      <c r="P102" s="2">
        <v>-0.21879999999999999</v>
      </c>
    </row>
    <row r="103" spans="1:16" ht="14.4" customHeight="1" x14ac:dyDescent="0.3">
      <c r="A103" s="2" t="s">
        <v>116</v>
      </c>
      <c r="B103" s="2">
        <v>4.6375999450683496</v>
      </c>
      <c r="C103" s="2">
        <v>0.76750224828720004</v>
      </c>
      <c r="D103" s="2">
        <v>0.81371903419494596</v>
      </c>
      <c r="E103" s="2">
        <v>0.10710924863815301</v>
      </c>
      <c r="F103" s="2">
        <v>0.41894143819808899</v>
      </c>
      <c r="G103" s="2">
        <v>0.11297206580638799</v>
      </c>
      <c r="H103" s="2">
        <v>2024</v>
      </c>
      <c r="I103" s="2">
        <v>4.5479998588562003</v>
      </c>
      <c r="J103" s="2">
        <v>0.75584930181503296</v>
      </c>
      <c r="K103" s="2">
        <v>0.68505561351776101</v>
      </c>
      <c r="L103" s="2">
        <v>0.27372542023658702</v>
      </c>
      <c r="M103" s="2">
        <v>0.482939183712005</v>
      </c>
      <c r="N103" s="2">
        <v>0.17866826057433999</v>
      </c>
      <c r="O103" s="2">
        <v>2025</v>
      </c>
      <c r="P103" s="2">
        <v>-8.9599999999999999E-2</v>
      </c>
    </row>
    <row r="104" spans="1:16" ht="14.4" customHeight="1" x14ac:dyDescent="0.3">
      <c r="A104" s="2" t="s">
        <v>117</v>
      </c>
      <c r="B104" s="2">
        <v>4.6307997703552202</v>
      </c>
      <c r="C104" s="2">
        <v>1.2889835834503101</v>
      </c>
      <c r="D104" s="2">
        <v>1.12555515766143</v>
      </c>
      <c r="E104" s="2">
        <v>0.144982725381851</v>
      </c>
      <c r="F104" s="2">
        <v>0.38303688168525601</v>
      </c>
      <c r="G104" s="2">
        <v>7.0700637996196705E-2</v>
      </c>
      <c r="H104" s="2">
        <v>2024</v>
      </c>
      <c r="I104" s="2">
        <v>4.8316998481750399</v>
      </c>
      <c r="J104" s="2">
        <v>1.26634609699249</v>
      </c>
      <c r="K104" s="2">
        <v>1.21204185485839</v>
      </c>
      <c r="L104" s="2">
        <v>0.30687120556831299</v>
      </c>
      <c r="M104" s="2">
        <v>0.46973705291748002</v>
      </c>
      <c r="N104" s="2">
        <v>6.1482444405555697E-2</v>
      </c>
      <c r="O104" s="2">
        <v>2025</v>
      </c>
      <c r="P104" s="2">
        <v>0.2009</v>
      </c>
    </row>
    <row r="105" spans="1:16" ht="14.4" customHeight="1" x14ac:dyDescent="0.3">
      <c r="A105" s="2" t="s">
        <v>118</v>
      </c>
      <c r="B105" s="2">
        <v>4.6135001182556099</v>
      </c>
      <c r="C105" s="2">
        <v>1.71436583995819</v>
      </c>
      <c r="D105" s="2">
        <v>1.14792835712432</v>
      </c>
      <c r="E105" s="2">
        <v>0.46680313348770103</v>
      </c>
      <c r="F105" s="2">
        <v>0.12466537207365</v>
      </c>
      <c r="G105" s="2">
        <v>9.6117354929447105E-2</v>
      </c>
      <c r="H105" s="2">
        <v>2024</v>
      </c>
      <c r="I105" s="2">
        <v>4.9752998352050701</v>
      </c>
      <c r="J105" s="2">
        <v>1.70157802104949</v>
      </c>
      <c r="K105" s="2">
        <v>1.1750115156173699</v>
      </c>
      <c r="L105" s="2">
        <v>0.63106775283813399</v>
      </c>
      <c r="M105" s="2">
        <v>0.20207588374614699</v>
      </c>
      <c r="N105" s="2">
        <v>0.11476534605026199</v>
      </c>
      <c r="O105" s="2">
        <v>2025</v>
      </c>
      <c r="P105" s="2">
        <v>0.36180000000000001</v>
      </c>
    </row>
    <row r="106" spans="1:16" ht="14.4" customHeight="1" x14ac:dyDescent="0.3">
      <c r="A106" s="2" t="s">
        <v>119</v>
      </c>
      <c r="B106" s="2">
        <v>4.6050000190734801</v>
      </c>
      <c r="C106" s="2">
        <v>1.1006957292556701</v>
      </c>
      <c r="D106" s="2">
        <v>0.75611793994903498</v>
      </c>
      <c r="E106" s="2">
        <v>0.19706325232982599</v>
      </c>
      <c r="F106" s="2">
        <v>0.52599960565567005</v>
      </c>
      <c r="G106" s="2">
        <v>3.4778703004121697E-2</v>
      </c>
      <c r="H106" s="2">
        <v>2024</v>
      </c>
      <c r="I106" s="2">
        <v>4.2894001007079998</v>
      </c>
      <c r="J106" s="2">
        <v>1.07651007175445</v>
      </c>
      <c r="K106" s="2">
        <v>0.74714690446853604</v>
      </c>
      <c r="L106" s="2">
        <v>0.359516590833663</v>
      </c>
      <c r="M106" s="2">
        <v>0.62322330474853505</v>
      </c>
      <c r="N106" s="2">
        <v>2.7729582041501999E-2</v>
      </c>
      <c r="O106" s="2">
        <v>2025</v>
      </c>
      <c r="P106" s="2">
        <v>-0.31559999999999999</v>
      </c>
    </row>
    <row r="107" spans="1:16" ht="14.4" customHeight="1" x14ac:dyDescent="0.3">
      <c r="A107" s="2" t="s">
        <v>120</v>
      </c>
      <c r="B107" s="2">
        <v>4.5553998947143501</v>
      </c>
      <c r="C107" s="2">
        <v>1.0808181762695299</v>
      </c>
      <c r="D107" s="2">
        <v>0.65674567222595204</v>
      </c>
      <c r="E107" s="2">
        <v>0.15754808485507901</v>
      </c>
      <c r="F107" s="2">
        <v>0.511050105094909</v>
      </c>
      <c r="G107" s="2">
        <v>0.102044954895973</v>
      </c>
      <c r="H107" s="2">
        <v>2024</v>
      </c>
      <c r="I107" s="2">
        <v>4.6567001342773402</v>
      </c>
      <c r="J107" s="2">
        <v>1.06854236125946</v>
      </c>
      <c r="K107" s="2">
        <v>0.60037744045257502</v>
      </c>
      <c r="L107" s="2">
        <v>0.32071524858474698</v>
      </c>
      <c r="M107" s="2">
        <v>0.54194521903991699</v>
      </c>
      <c r="N107" s="2">
        <v>7.3963791131973197E-2</v>
      </c>
      <c r="O107" s="2">
        <v>2025</v>
      </c>
      <c r="P107" s="2">
        <v>0.1013</v>
      </c>
    </row>
    <row r="108" spans="1:16" ht="14.4" customHeight="1" x14ac:dyDescent="0.3">
      <c r="A108" s="2" t="s">
        <v>121</v>
      </c>
      <c r="B108" s="2">
        <v>4.5012998580932599</v>
      </c>
      <c r="C108" s="2">
        <v>0.56101745367050104</v>
      </c>
      <c r="D108" s="2">
        <v>0.62828725576400701</v>
      </c>
      <c r="E108" s="2">
        <v>0.13677246868610299</v>
      </c>
      <c r="F108" s="2">
        <v>0.54042088985443104</v>
      </c>
      <c r="G108" s="2">
        <v>0.14006020128726901</v>
      </c>
      <c r="H108" s="2">
        <v>2024</v>
      </c>
      <c r="I108" s="2">
        <v>4.5563001632690403</v>
      </c>
      <c r="J108" s="2">
        <v>0.57284975051879805</v>
      </c>
      <c r="K108" s="2">
        <v>0.67738664150238004</v>
      </c>
      <c r="L108" s="2">
        <v>0.29313042759895303</v>
      </c>
      <c r="M108" s="2">
        <v>0.614515721797943</v>
      </c>
      <c r="N108" s="2">
        <v>0.14679871499538399</v>
      </c>
      <c r="O108" s="2">
        <v>2025</v>
      </c>
      <c r="P108" s="2">
        <v>5.5E-2</v>
      </c>
    </row>
    <row r="109" spans="1:16" ht="14.4" customHeight="1" x14ac:dyDescent="0.3">
      <c r="A109" s="2" t="s">
        <v>122</v>
      </c>
      <c r="B109" s="2">
        <v>4.49669981002807</v>
      </c>
      <c r="C109" s="2">
        <v>1.33303570747375</v>
      </c>
      <c r="D109" s="2">
        <v>0.98116201162338201</v>
      </c>
      <c r="E109" s="2">
        <v>0.42150247097015298</v>
      </c>
      <c r="F109" s="2">
        <v>0.25929206609725902</v>
      </c>
      <c r="G109" s="2">
        <v>1.6010031104087798E-2</v>
      </c>
      <c r="H109" s="2">
        <v>2024</v>
      </c>
      <c r="I109" s="2">
        <v>4.4218001365661603</v>
      </c>
      <c r="J109" s="2">
        <v>1.3064451217651301</v>
      </c>
      <c r="K109" s="2">
        <v>0.95469146966934204</v>
      </c>
      <c r="L109" s="2">
        <v>0.57910943031311002</v>
      </c>
      <c r="M109" s="2">
        <v>0.25393915176391602</v>
      </c>
      <c r="N109" s="2">
        <v>1.8353827297687499E-2</v>
      </c>
      <c r="O109" s="2">
        <v>2025</v>
      </c>
      <c r="P109" s="2">
        <v>-7.4899999999999994E-2</v>
      </c>
    </row>
    <row r="110" spans="1:16" ht="14.4" customHeight="1" x14ac:dyDescent="0.3">
      <c r="A110" s="2" t="s">
        <v>123</v>
      </c>
      <c r="B110" s="2">
        <v>4.4865999221801696</v>
      </c>
      <c r="C110" s="2">
        <v>1.0513869524002</v>
      </c>
      <c r="D110" s="2">
        <v>0.88073295354843095</v>
      </c>
      <c r="E110" s="2">
        <v>0.18986286222934701</v>
      </c>
      <c r="F110" s="2">
        <v>0.41777968406677202</v>
      </c>
      <c r="G110" s="2">
        <v>5.4915297776460599E-2</v>
      </c>
      <c r="H110" s="2">
        <v>2024</v>
      </c>
      <c r="I110" s="2">
        <v>4.46960020065307</v>
      </c>
      <c r="J110" s="2">
        <v>1.03673732280731</v>
      </c>
      <c r="K110" s="2">
        <v>0.89535057544708196</v>
      </c>
      <c r="L110" s="2">
        <v>0.35330137610435403</v>
      </c>
      <c r="M110" s="2">
        <v>0.51859217882156305</v>
      </c>
      <c r="N110" s="2">
        <v>6.8594820797443307E-2</v>
      </c>
      <c r="O110" s="2">
        <v>2025</v>
      </c>
      <c r="P110" s="2">
        <v>-1.7000000000000001E-2</v>
      </c>
    </row>
    <row r="111" spans="1:16" ht="14.4" customHeight="1" x14ac:dyDescent="0.3">
      <c r="A111" s="2" t="s">
        <v>124</v>
      </c>
      <c r="B111" s="2">
        <v>4.4415998458862296</v>
      </c>
      <c r="C111" s="2">
        <v>1.4217795133590601</v>
      </c>
      <c r="D111" s="2">
        <v>1.2241677045822099</v>
      </c>
      <c r="E111" s="2">
        <v>0.42558452486991799</v>
      </c>
      <c r="F111" s="2">
        <v>0.53883016109466497</v>
      </c>
      <c r="G111" s="2">
        <v>8.6380951106548295E-2</v>
      </c>
      <c r="H111" s="2">
        <v>2024</v>
      </c>
      <c r="I111" s="2">
        <v>3.89809989929199</v>
      </c>
      <c r="J111" s="2">
        <v>1.36097240447998</v>
      </c>
      <c r="K111" s="2">
        <v>1.1786798238754199</v>
      </c>
      <c r="L111" s="2">
        <v>0.58602154254913297</v>
      </c>
      <c r="M111" s="2">
        <v>0.58306217193603505</v>
      </c>
      <c r="N111" s="2">
        <v>3.0845755711197801E-2</v>
      </c>
      <c r="O111" s="2">
        <v>2025</v>
      </c>
      <c r="P111" s="2">
        <v>-0.54349999999999998</v>
      </c>
    </row>
    <row r="112" spans="1:16" ht="14.4" customHeight="1" x14ac:dyDescent="0.3">
      <c r="A112" s="2" t="s">
        <v>125</v>
      </c>
      <c r="B112" s="2">
        <v>4.4324998855590803</v>
      </c>
      <c r="C112" s="2">
        <v>0.78509604930877597</v>
      </c>
      <c r="D112" s="2">
        <v>1.1435365676879801</v>
      </c>
      <c r="E112" s="2">
        <v>0.201148942112922</v>
      </c>
      <c r="F112" s="2">
        <v>0.42534473538398698</v>
      </c>
      <c r="G112" s="2">
        <v>5.1481470465659998E-2</v>
      </c>
      <c r="H112" s="2">
        <v>2024</v>
      </c>
      <c r="I112" s="2">
        <v>4.37169981002807</v>
      </c>
      <c r="J112" s="2">
        <v>0.77195256948471003</v>
      </c>
      <c r="K112" s="2">
        <v>1.15078961849212</v>
      </c>
      <c r="L112" s="2">
        <v>0.37335091829299899</v>
      </c>
      <c r="M112" s="2">
        <v>0.58744722604751498</v>
      </c>
      <c r="N112" s="2">
        <v>5.4190244525670998E-2</v>
      </c>
      <c r="O112" s="2">
        <v>2025</v>
      </c>
      <c r="P112" s="2">
        <v>-6.08E-2</v>
      </c>
    </row>
    <row r="113" spans="1:16" ht="14.4" customHeight="1" x14ac:dyDescent="0.3">
      <c r="A113" s="2" t="s">
        <v>126</v>
      </c>
      <c r="B113" s="2">
        <v>4.3965997695922798</v>
      </c>
      <c r="C113" s="2">
        <v>0.62203967571258501</v>
      </c>
      <c r="D113" s="2">
        <v>0.96165978908538796</v>
      </c>
      <c r="E113" s="2">
        <v>4.3452650308609002E-2</v>
      </c>
      <c r="F113" s="2">
        <v>0.39268815517425498</v>
      </c>
      <c r="G113" s="2">
        <v>8.7654866278171498E-2</v>
      </c>
      <c r="H113" s="2">
        <v>2024</v>
      </c>
      <c r="I113" s="2">
        <v>4.4713001251220703</v>
      </c>
      <c r="J113" s="2">
        <v>0.60330259799957198</v>
      </c>
      <c r="K113" s="2">
        <v>0.80541253089904696</v>
      </c>
      <c r="L113" s="2">
        <v>0.198526561260223</v>
      </c>
      <c r="M113" s="2">
        <v>0.41112658381461997</v>
      </c>
      <c r="N113" s="2">
        <v>0.11272654682397799</v>
      </c>
      <c r="O113" s="2">
        <v>2025</v>
      </c>
      <c r="P113" s="2">
        <v>7.4700000000000003E-2</v>
      </c>
    </row>
    <row r="114" spans="1:16" ht="14.4" customHeight="1" x14ac:dyDescent="0.3">
      <c r="A114" s="2" t="s">
        <v>127</v>
      </c>
      <c r="B114" s="2">
        <v>4.3934998512268004</v>
      </c>
      <c r="C114" s="2">
        <v>1.02503502368927</v>
      </c>
      <c r="D114" s="2">
        <v>1.02351605892181</v>
      </c>
      <c r="E114" s="2">
        <v>0.28253212571144098</v>
      </c>
      <c r="F114" s="2">
        <v>0.76753407716751099</v>
      </c>
      <c r="G114" s="2">
        <v>5.1488727331161499E-2</v>
      </c>
      <c r="H114" s="2">
        <v>2024</v>
      </c>
      <c r="I114" s="2">
        <v>4.3407001495361301</v>
      </c>
      <c r="J114" s="2">
        <v>1.0109834671020499</v>
      </c>
      <c r="K114" s="2">
        <v>1.0185363292694001</v>
      </c>
      <c r="L114" s="2">
        <v>0.44200488924980103</v>
      </c>
      <c r="M114" s="2">
        <v>0.863331079483032</v>
      </c>
      <c r="N114" s="2">
        <v>7.1047246456146199E-2</v>
      </c>
      <c r="O114" s="2">
        <v>2025</v>
      </c>
      <c r="P114" s="2">
        <v>-5.28E-2</v>
      </c>
    </row>
    <row r="115" spans="1:16" ht="14.4" customHeight="1" x14ac:dyDescent="0.3">
      <c r="A115" s="2" t="s">
        <v>128</v>
      </c>
      <c r="B115" s="2">
        <v>4.3737001419067303</v>
      </c>
      <c r="C115" s="2">
        <v>0.92407691478729204</v>
      </c>
      <c r="D115" s="2">
        <v>0.241819828748703</v>
      </c>
      <c r="E115" s="2">
        <v>0.12437799572944599</v>
      </c>
      <c r="F115" s="2">
        <v>0.48134389519691401</v>
      </c>
      <c r="G115" s="2">
        <v>0.25317260622978199</v>
      </c>
      <c r="H115" s="2">
        <v>2024</v>
      </c>
      <c r="I115" s="2">
        <v>4.3773999214172301</v>
      </c>
      <c r="J115" s="2">
        <v>0.91357493400573697</v>
      </c>
      <c r="K115" s="2">
        <v>0.12834492325782701</v>
      </c>
      <c r="L115" s="2">
        <v>0.28404545783996499</v>
      </c>
      <c r="M115" s="2">
        <v>0.56680840253829901</v>
      </c>
      <c r="N115" s="2">
        <v>0.25205975770950301</v>
      </c>
      <c r="O115" s="2">
        <v>2025</v>
      </c>
      <c r="P115" s="2">
        <v>3.7000000000000002E-3</v>
      </c>
    </row>
    <row r="116" spans="1:16" ht="14.4" customHeight="1" x14ac:dyDescent="0.3">
      <c r="A116" s="2" t="s">
        <v>129</v>
      </c>
      <c r="B116" s="2">
        <v>4.3724999427795401</v>
      </c>
      <c r="C116" s="2">
        <v>1.03191673755645</v>
      </c>
      <c r="D116" s="2">
        <v>1.12503385543823</v>
      </c>
      <c r="E116" s="2">
        <v>0.26859521865844699</v>
      </c>
      <c r="F116" s="2">
        <v>0.45976001024246199</v>
      </c>
      <c r="G116" s="2">
        <v>0.19385148584842599</v>
      </c>
      <c r="H116" s="2">
        <v>2024</v>
      </c>
      <c r="I116" s="2">
        <v>4.3544998168945304</v>
      </c>
      <c r="J116" s="2">
        <v>0.97761642932891801</v>
      </c>
      <c r="K116" s="2">
        <v>0.98811346292495705</v>
      </c>
      <c r="L116" s="2">
        <v>0.43571144342422402</v>
      </c>
      <c r="M116" s="2">
        <v>0.45041283965110701</v>
      </c>
      <c r="N116" s="2">
        <v>0.17410466074943501</v>
      </c>
      <c r="O116" s="2">
        <v>2025</v>
      </c>
      <c r="P116" s="2">
        <v>-1.7999999999999999E-2</v>
      </c>
    </row>
    <row r="117" spans="1:16" ht="14.4" customHeight="1" x14ac:dyDescent="0.3">
      <c r="A117" s="2" t="s">
        <v>130</v>
      </c>
      <c r="B117" s="2">
        <v>4.28210020065307</v>
      </c>
      <c r="C117" s="2">
        <v>1.1326640844345</v>
      </c>
      <c r="D117" s="2">
        <v>0.51310682296752896</v>
      </c>
      <c r="E117" s="2">
        <v>0.35470288991928101</v>
      </c>
      <c r="F117" s="2">
        <v>0.61661362648010198</v>
      </c>
      <c r="G117" s="2">
        <v>0.16538919508457101</v>
      </c>
      <c r="H117" s="2">
        <v>2024</v>
      </c>
      <c r="I117" s="2">
        <v>3.8859000205993599</v>
      </c>
      <c r="J117" s="2">
        <v>1.1216069459915099</v>
      </c>
      <c r="K117" s="2">
        <v>0.249163582921028</v>
      </c>
      <c r="L117" s="2">
        <v>0.51332014799117998</v>
      </c>
      <c r="M117" s="2">
        <v>0.77485388517379705</v>
      </c>
      <c r="N117" s="2">
        <v>0.167441755533218</v>
      </c>
      <c r="O117" s="2">
        <v>2025</v>
      </c>
      <c r="P117" s="2">
        <v>-0.3962</v>
      </c>
    </row>
    <row r="118" spans="1:16" ht="14.4" customHeight="1" x14ac:dyDescent="0.3">
      <c r="A118" s="2" t="s">
        <v>131</v>
      </c>
      <c r="B118" s="2">
        <v>4.2793998718261701</v>
      </c>
      <c r="C118" s="2">
        <v>0.76072418689727705</v>
      </c>
      <c r="D118" s="2">
        <v>0.61365914344787598</v>
      </c>
      <c r="E118" s="2">
        <v>0.17355553805828</v>
      </c>
      <c r="F118" s="2">
        <v>0.28587514162063599</v>
      </c>
      <c r="G118" s="2">
        <v>3.3252350986003799E-2</v>
      </c>
      <c r="H118" s="2">
        <v>2024</v>
      </c>
      <c r="I118" s="2">
        <v>4.4848999977111799</v>
      </c>
      <c r="J118" s="2">
        <v>0.75029802322387695</v>
      </c>
      <c r="K118" s="2">
        <v>0.68383723497390703</v>
      </c>
      <c r="L118" s="2">
        <v>0.32972538471221902</v>
      </c>
      <c r="M118" s="2">
        <v>0.45858886837959201</v>
      </c>
      <c r="N118" s="2">
        <v>4.7796253114938701E-2</v>
      </c>
      <c r="O118" s="2">
        <v>2025</v>
      </c>
      <c r="P118" s="2">
        <v>0.20549999999999999</v>
      </c>
    </row>
    <row r="119" spans="1:16" ht="14.4" customHeight="1" x14ac:dyDescent="0.3">
      <c r="A119" s="2" t="s">
        <v>132</v>
      </c>
      <c r="B119" s="2">
        <v>4.1978001594543404</v>
      </c>
      <c r="C119" s="2">
        <v>0.76336073875427202</v>
      </c>
      <c r="D119" s="2">
        <v>0.63691252470016402</v>
      </c>
      <c r="E119" s="2">
        <v>0.105518378317356</v>
      </c>
      <c r="F119" s="2">
        <v>0.44072335958480802</v>
      </c>
      <c r="G119" s="2">
        <v>5.9497222304344101E-2</v>
      </c>
      <c r="H119" s="2">
        <v>2024</v>
      </c>
      <c r="I119" s="2">
        <v>4.2319998741149902</v>
      </c>
      <c r="J119" s="2">
        <v>0.74740672111511197</v>
      </c>
      <c r="K119" s="2">
        <v>0.68790453672409002</v>
      </c>
      <c r="L119" s="2">
        <v>0.267460197210311</v>
      </c>
      <c r="M119" s="2">
        <v>0.58569979667663497</v>
      </c>
      <c r="N119" s="2">
        <v>8.9603058993816306E-2</v>
      </c>
      <c r="O119" s="2">
        <v>2025</v>
      </c>
      <c r="P119" s="2">
        <v>3.4200000000000001E-2</v>
      </c>
    </row>
    <row r="120" spans="1:16" ht="14.4" customHeight="1" x14ac:dyDescent="0.3">
      <c r="A120" s="2" t="s">
        <v>133</v>
      </c>
      <c r="B120" s="2">
        <v>4.1704998016357404</v>
      </c>
      <c r="C120" s="2">
        <v>1.37724208831787</v>
      </c>
      <c r="D120" s="2">
        <v>0.97190797328948897</v>
      </c>
      <c r="E120" s="2">
        <v>0.32621958851814198</v>
      </c>
      <c r="F120" s="2">
        <v>0.46679794788360501</v>
      </c>
      <c r="G120" s="2">
        <v>0.24986493587493799</v>
      </c>
      <c r="H120" s="2">
        <v>2024</v>
      </c>
      <c r="I120" s="2">
        <v>3.9765999317169101</v>
      </c>
      <c r="J120" s="2">
        <v>1.3699750900268499</v>
      </c>
      <c r="K120" s="2">
        <v>0.99585139751434304</v>
      </c>
      <c r="L120" s="2">
        <v>0.48767942190170199</v>
      </c>
      <c r="M120" s="2">
        <v>0.48970222473144498</v>
      </c>
      <c r="N120" s="2">
        <v>0.25922113656997597</v>
      </c>
      <c r="O120" s="2">
        <v>2025</v>
      </c>
      <c r="P120" s="2">
        <v>-0.19389999999999999</v>
      </c>
    </row>
    <row r="121" spans="1:16" ht="14.4" customHeight="1" x14ac:dyDescent="0.3">
      <c r="A121" s="2" t="s">
        <v>134</v>
      </c>
      <c r="B121" s="2">
        <v>4.1374001502990696</v>
      </c>
      <c r="C121" s="2">
        <v>0.76985162496566695</v>
      </c>
      <c r="D121" s="2">
        <v>0.64164727926254195</v>
      </c>
      <c r="E121" s="2">
        <v>0.161266759037971</v>
      </c>
      <c r="F121" s="2">
        <v>0.36699905991554199</v>
      </c>
      <c r="G121" s="2">
        <v>0.13557527959346699</v>
      </c>
      <c r="H121" s="2">
        <v>2024</v>
      </c>
      <c r="I121" s="2">
        <v>4.2140998840331996</v>
      </c>
      <c r="J121" s="2">
        <v>0.75849395990371704</v>
      </c>
      <c r="K121" s="2">
        <v>0.58610826730728105</v>
      </c>
      <c r="L121" s="2">
        <v>0.32009798288345298</v>
      </c>
      <c r="M121" s="2">
        <v>0.452633947134017</v>
      </c>
      <c r="N121" s="2">
        <v>0.156012743711471</v>
      </c>
      <c r="O121" s="2">
        <v>2025</v>
      </c>
      <c r="P121" s="2">
        <v>7.6700000000000004E-2</v>
      </c>
    </row>
    <row r="122" spans="1:16" ht="14.4" customHeight="1" x14ac:dyDescent="0.3">
      <c r="A122" s="2" t="s">
        <v>135</v>
      </c>
      <c r="B122" s="2">
        <v>4.1198000907897896</v>
      </c>
      <c r="C122" s="2">
        <v>1.29244196414947</v>
      </c>
      <c r="D122" s="2">
        <v>0.97978794574737504</v>
      </c>
      <c r="E122" s="2">
        <v>0.437848150730133</v>
      </c>
      <c r="F122" s="2">
        <v>0.51696842908859197</v>
      </c>
      <c r="G122" s="2">
        <v>0.17325633764266901</v>
      </c>
      <c r="H122" s="2">
        <v>2024</v>
      </c>
      <c r="I122" s="2">
        <v>4.1858000755309996</v>
      </c>
      <c r="J122" s="2">
        <v>1.2622883319854701</v>
      </c>
      <c r="K122" s="2">
        <v>0.98295855522155695</v>
      </c>
      <c r="L122" s="2">
        <v>0.59434533119201605</v>
      </c>
      <c r="M122" s="2">
        <v>0.593222856521606</v>
      </c>
      <c r="N122" s="2">
        <v>0.18945163488388</v>
      </c>
      <c r="O122" s="2">
        <v>2025</v>
      </c>
      <c r="P122" s="2">
        <v>6.6000000000000003E-2</v>
      </c>
    </row>
    <row r="123" spans="1:16" ht="14.4" customHeight="1" x14ac:dyDescent="0.3">
      <c r="A123" s="2" t="s">
        <v>136</v>
      </c>
      <c r="B123" s="2">
        <v>4.0906000137329102</v>
      </c>
      <c r="C123" s="2">
        <v>0.79333013296127297</v>
      </c>
      <c r="D123" s="2">
        <v>1.1143281459808301</v>
      </c>
      <c r="E123" s="2">
        <v>0.24979920685291199</v>
      </c>
      <c r="F123" s="2">
        <v>0.45062980055808999</v>
      </c>
      <c r="G123" s="2">
        <v>0.10059135407209301</v>
      </c>
      <c r="H123" s="2">
        <v>2024</v>
      </c>
      <c r="I123" s="2">
        <v>3.86089992523193</v>
      </c>
      <c r="J123" s="2">
        <v>0.79156035184860196</v>
      </c>
      <c r="K123" s="2">
        <v>0.91491889953613204</v>
      </c>
      <c r="L123" s="2">
        <v>0.41979598999023399</v>
      </c>
      <c r="M123" s="2">
        <v>0.44089117646217302</v>
      </c>
      <c r="N123" s="2">
        <v>0.10067531466484</v>
      </c>
      <c r="O123" s="2">
        <v>2025</v>
      </c>
      <c r="P123" s="2">
        <v>-0.22969999999999999</v>
      </c>
    </row>
    <row r="124" spans="1:16" ht="14.4" customHeight="1" x14ac:dyDescent="0.3">
      <c r="A124" s="2" t="s">
        <v>137</v>
      </c>
      <c r="B124" s="2">
        <v>4.0423002243041903</v>
      </c>
      <c r="C124" s="2">
        <v>0.62764286994934004</v>
      </c>
      <c r="D124" s="2">
        <v>0.64423573017120295</v>
      </c>
      <c r="E124" s="2">
        <v>0.140859514474868</v>
      </c>
      <c r="F124" s="2">
        <v>0.47057566046714699</v>
      </c>
      <c r="G124" s="2">
        <v>7.0937752723693806E-2</v>
      </c>
      <c r="H124" s="2">
        <v>2024</v>
      </c>
      <c r="I124" s="2">
        <v>4.2685999870300204</v>
      </c>
      <c r="J124" s="2">
        <v>0.61877793073654097</v>
      </c>
      <c r="K124" s="2">
        <v>0.673256516456604</v>
      </c>
      <c r="L124" s="2">
        <v>0.30065545439720098</v>
      </c>
      <c r="M124" s="2">
        <v>0.54583978652954102</v>
      </c>
      <c r="N124" s="2">
        <v>7.4501477181911399E-2</v>
      </c>
      <c r="O124" s="2">
        <v>2025</v>
      </c>
      <c r="P124" s="2">
        <v>0.2263</v>
      </c>
    </row>
    <row r="125" spans="1:16" ht="14.4" customHeight="1" x14ac:dyDescent="0.3">
      <c r="A125" s="2" t="s">
        <v>138</v>
      </c>
      <c r="B125" s="2">
        <v>4.0357999801635698</v>
      </c>
      <c r="C125" s="2">
        <v>1.1592427492141699</v>
      </c>
      <c r="D125" s="2">
        <v>0.67418730258941595</v>
      </c>
      <c r="E125" s="2">
        <v>0.25194096565246499</v>
      </c>
      <c r="F125" s="2">
        <v>0.68542706966400102</v>
      </c>
      <c r="G125" s="2">
        <v>0.111384235322475</v>
      </c>
      <c r="H125" s="2">
        <v>2024</v>
      </c>
      <c r="I125" s="2">
        <v>4.0541000366210902</v>
      </c>
      <c r="J125" s="2">
        <v>1.1661732196807799</v>
      </c>
      <c r="K125" s="2">
        <v>0.65266716480255105</v>
      </c>
      <c r="L125" s="2">
        <v>0.41700702905654902</v>
      </c>
      <c r="M125" s="2">
        <v>0.76659846305847101</v>
      </c>
      <c r="N125" s="2">
        <v>0.122020080685615</v>
      </c>
      <c r="O125" s="2">
        <v>2025</v>
      </c>
      <c r="P125" s="2">
        <v>1.83E-2</v>
      </c>
    </row>
    <row r="126" spans="1:16" ht="14.4" customHeight="1" x14ac:dyDescent="0.3">
      <c r="A126" s="2" t="s">
        <v>139</v>
      </c>
      <c r="B126" s="2">
        <v>4.0191001892089799</v>
      </c>
      <c r="C126" s="2">
        <v>0.63246947526931696</v>
      </c>
      <c r="D126" s="2">
        <v>0.77942186594009399</v>
      </c>
      <c r="E126" s="2">
        <v>0.17764247953891699</v>
      </c>
      <c r="F126" s="2">
        <v>0.18663491308689101</v>
      </c>
      <c r="G126" s="2">
        <v>0.13413265347480699</v>
      </c>
      <c r="H126" s="2">
        <v>2024</v>
      </c>
      <c r="I126" s="2">
        <v>4.2279000282287598</v>
      </c>
      <c r="J126" s="2">
        <v>0.62790691852569502</v>
      </c>
      <c r="K126" s="2">
        <v>0.82349097728729204</v>
      </c>
      <c r="L126" s="2">
        <v>0.33322486281394897</v>
      </c>
      <c r="M126" s="2">
        <v>0.25047516822814903</v>
      </c>
      <c r="N126" s="2">
        <v>0.12322671711444801</v>
      </c>
      <c r="O126" s="2">
        <v>2025</v>
      </c>
      <c r="P126" s="2">
        <v>0.20880000000000001</v>
      </c>
    </row>
    <row r="127" spans="1:16" ht="14.4" customHeight="1" x14ac:dyDescent="0.3">
      <c r="A127" s="2" t="s">
        <v>140</v>
      </c>
      <c r="B127" s="2">
        <v>3.9821999073028498</v>
      </c>
      <c r="C127" s="2">
        <v>0.91352039575576705</v>
      </c>
      <c r="D127" s="2">
        <v>0.88965350389480502</v>
      </c>
      <c r="E127" s="2">
        <v>9.5415830612182603E-2</v>
      </c>
      <c r="F127" s="2">
        <v>0.54457265138626099</v>
      </c>
      <c r="G127" s="2">
        <v>7.9887196421623202E-2</v>
      </c>
      <c r="H127" s="2">
        <v>2024</v>
      </c>
      <c r="I127" s="2">
        <v>3.5023999214172301</v>
      </c>
      <c r="J127" s="2">
        <v>0.89897161722183205</v>
      </c>
      <c r="K127" s="2">
        <v>0.80891859531402499</v>
      </c>
      <c r="L127" s="2">
        <v>0.26401990652084301</v>
      </c>
      <c r="M127" s="2">
        <v>0.72705924510955799</v>
      </c>
      <c r="N127" s="2">
        <v>0.10934242606163</v>
      </c>
      <c r="O127" s="2">
        <v>2025</v>
      </c>
      <c r="P127" s="2">
        <v>-0.4798</v>
      </c>
    </row>
    <row r="128" spans="1:16" ht="14.4" customHeight="1" x14ac:dyDescent="0.3">
      <c r="A128" s="2" t="s">
        <v>141</v>
      </c>
      <c r="B128" s="2">
        <v>3.6937999725341699</v>
      </c>
      <c r="C128" s="2">
        <v>0.83589488267898504</v>
      </c>
      <c r="D128" s="2">
        <v>0.78694218397140503</v>
      </c>
      <c r="E128" s="2">
        <v>0.21446597576141299</v>
      </c>
      <c r="F128" s="2">
        <v>0.60719019174575795</v>
      </c>
      <c r="G128" s="2">
        <v>0.26875507831573398</v>
      </c>
      <c r="H128" s="2">
        <v>2024</v>
      </c>
      <c r="I128" s="2">
        <v>3.7806000709533598</v>
      </c>
      <c r="J128" s="2">
        <v>0.82013702392578103</v>
      </c>
      <c r="K128" s="2">
        <v>0.70603954792022705</v>
      </c>
      <c r="L128" s="2">
        <v>0.37971571087837203</v>
      </c>
      <c r="M128" s="2">
        <v>0.70925503969192505</v>
      </c>
      <c r="N128" s="2">
        <v>0.257204830646514</v>
      </c>
      <c r="O128" s="2">
        <v>2025</v>
      </c>
      <c r="P128" s="2">
        <v>8.6800000000000002E-2</v>
      </c>
    </row>
    <row r="129" spans="1:16" ht="14.4" customHeight="1" x14ac:dyDescent="0.3">
      <c r="A129" s="2" t="s">
        <v>142</v>
      </c>
      <c r="B129" s="2">
        <v>3.5452001094818102</v>
      </c>
      <c r="C129" s="2">
        <v>0.91378581523895197</v>
      </c>
      <c r="D129" s="2">
        <v>0.32682847976684498</v>
      </c>
      <c r="E129" s="2">
        <v>0.215106651186943</v>
      </c>
      <c r="F129" s="2">
        <v>0.117410764098167</v>
      </c>
      <c r="G129" s="2">
        <v>0.144751250743865</v>
      </c>
      <c r="H129" s="2">
        <v>2024</v>
      </c>
      <c r="I129" s="2">
        <v>3.5662999153137198</v>
      </c>
      <c r="J129" s="2">
        <v>0.89553189277648904</v>
      </c>
      <c r="K129" s="2">
        <v>0.32799538969993502</v>
      </c>
      <c r="L129" s="2">
        <v>0.37022033333778298</v>
      </c>
      <c r="M129" s="2">
        <v>0.17212426662444999</v>
      </c>
      <c r="N129" s="2">
        <v>0.15969727933406799</v>
      </c>
      <c r="O129" s="2">
        <v>2025</v>
      </c>
      <c r="P129" s="2">
        <v>2.1100000000000001E-2</v>
      </c>
    </row>
    <row r="130" spans="1:16" ht="14.4" customHeight="1" x14ac:dyDescent="0.3">
      <c r="A130" s="2" t="s">
        <v>143</v>
      </c>
      <c r="B130" s="2">
        <v>3.4951999187469398</v>
      </c>
      <c r="C130" s="2">
        <v>0.63652682304382302</v>
      </c>
      <c r="D130" s="2">
        <v>0.47856953740119901</v>
      </c>
      <c r="E130" s="2">
        <v>0.189231753349304</v>
      </c>
      <c r="F130" s="2">
        <v>0.490231573581695</v>
      </c>
      <c r="G130" s="2">
        <v>0.12902875244617401</v>
      </c>
      <c r="H130" s="2">
        <v>2024</v>
      </c>
      <c r="I130" s="2">
        <v>3.4210000038146902</v>
      </c>
      <c r="J130" s="2">
        <v>0.61691111326217596</v>
      </c>
      <c r="K130" s="2">
        <v>0.41037529706954901</v>
      </c>
      <c r="L130" s="2">
        <v>0.34911715984344399</v>
      </c>
      <c r="M130" s="2">
        <v>0.570892453193664</v>
      </c>
      <c r="N130" s="2">
        <v>0.13581052422523399</v>
      </c>
      <c r="O130" s="2">
        <v>2025</v>
      </c>
      <c r="P130" s="2">
        <v>-7.4200000000000002E-2</v>
      </c>
    </row>
    <row r="131" spans="1:16" ht="14.4" customHeight="1" x14ac:dyDescent="0.3">
      <c r="A131" s="2" t="s">
        <v>144</v>
      </c>
      <c r="B131" s="2">
        <v>3.4353001117706299</v>
      </c>
      <c r="C131" s="2">
        <v>1.4713940620422301</v>
      </c>
      <c r="D131" s="2">
        <v>1.0406470298767001</v>
      </c>
      <c r="E131" s="2">
        <v>8.7047278881072998E-2</v>
      </c>
      <c r="F131" s="2">
        <v>0.47986912727355902</v>
      </c>
      <c r="G131" s="2">
        <v>7.0693679153919206E-2</v>
      </c>
      <c r="H131" s="2">
        <v>2024</v>
      </c>
      <c r="I131" s="2">
        <v>3.3833999633789</v>
      </c>
      <c r="J131" s="2">
        <v>1.44469130039215</v>
      </c>
      <c r="K131" s="2">
        <v>0.96861052513122503</v>
      </c>
      <c r="L131" s="2">
        <v>0.24141126871109</v>
      </c>
      <c r="M131" s="2">
        <v>0.56670814752578702</v>
      </c>
      <c r="N131" s="2">
        <v>8.2072243094444206E-2</v>
      </c>
      <c r="O131" s="2">
        <v>2025</v>
      </c>
      <c r="P131" s="2">
        <v>-5.1900000000000002E-2</v>
      </c>
    </row>
    <row r="132" spans="1:16" ht="14.4" customHeight="1" x14ac:dyDescent="0.3">
      <c r="A132" s="2" t="s">
        <v>145</v>
      </c>
      <c r="B132" s="2">
        <v>3.2072000503539999</v>
      </c>
      <c r="C132" s="2">
        <v>0.53077924251556396</v>
      </c>
      <c r="D132" s="2">
        <v>0.783746778964996</v>
      </c>
      <c r="E132" s="2">
        <v>0.10475765913724799</v>
      </c>
      <c r="F132" s="2">
        <v>0.37547230720519997</v>
      </c>
      <c r="G132" s="2">
        <v>6.8287126719951602E-2</v>
      </c>
      <c r="H132" s="2">
        <v>2024</v>
      </c>
      <c r="I132" s="2">
        <v>3.2953999042510902</v>
      </c>
      <c r="J132" s="2">
        <v>0.53367000818252497</v>
      </c>
      <c r="K132" s="2">
        <v>0.66470003128051702</v>
      </c>
      <c r="L132" s="2">
        <v>0.26150763034820501</v>
      </c>
      <c r="M132" s="2">
        <v>0.47270506620407099</v>
      </c>
      <c r="N132" s="2">
        <v>7.2167113423347404E-2</v>
      </c>
      <c r="O132" s="2">
        <v>2025</v>
      </c>
      <c r="P132" s="2">
        <v>8.8200000000000001E-2</v>
      </c>
    </row>
    <row r="133" spans="1:16" ht="14.4" customHeight="1" x14ac:dyDescent="0.3">
      <c r="A133" s="2" t="s">
        <v>146</v>
      </c>
      <c r="B133" s="2">
        <v>3.2035000324249201</v>
      </c>
      <c r="C133" s="2">
        <v>0.758278608322143</v>
      </c>
      <c r="D133" s="2">
        <v>0.88051295280456499</v>
      </c>
      <c r="E133" s="2">
        <v>6.8652786314487402E-2</v>
      </c>
      <c r="F133" s="2">
        <v>0.36250808835029602</v>
      </c>
      <c r="G133" s="2">
        <v>0.117114767432212</v>
      </c>
      <c r="H133" s="2">
        <v>2024</v>
      </c>
      <c r="I133" s="2">
        <v>3.3410999774932799</v>
      </c>
      <c r="J133" s="2">
        <v>0.74833720922470004</v>
      </c>
      <c r="K133" s="2">
        <v>0.85008198022842396</v>
      </c>
      <c r="L133" s="2">
        <v>0.23206385970115601</v>
      </c>
      <c r="M133" s="2">
        <v>0.48692381381988498</v>
      </c>
      <c r="N133" s="2">
        <v>0.130597859621047</v>
      </c>
      <c r="O133" s="2">
        <v>2025</v>
      </c>
      <c r="P133" s="2">
        <v>0.1376</v>
      </c>
    </row>
    <row r="134" spans="1:16" ht="14.4" customHeight="1" x14ac:dyDescent="0.3">
      <c r="A134" s="2" t="s">
        <v>147</v>
      </c>
      <c r="B134" s="2">
        <v>3.13759994506835</v>
      </c>
      <c r="C134" s="2">
        <v>0.66969865560531605</v>
      </c>
      <c r="D134" s="2">
        <v>0.54034250974655096</v>
      </c>
      <c r="E134" s="2">
        <v>9.1811478137969901E-2</v>
      </c>
      <c r="F134" s="2">
        <v>0.37090742588043202</v>
      </c>
      <c r="G134" s="2">
        <v>5.1076825708150801E-2</v>
      </c>
      <c r="H134" s="2">
        <v>2024</v>
      </c>
      <c r="I134" s="2">
        <v>3.2451999187469398</v>
      </c>
      <c r="J134" s="2">
        <v>0.65427839756011896</v>
      </c>
      <c r="K134" s="2">
        <v>0.56597745418548495</v>
      </c>
      <c r="L134" s="2">
        <v>0.253320813179016</v>
      </c>
      <c r="M134" s="2">
        <v>0.46903476119041398</v>
      </c>
      <c r="N134" s="2">
        <v>5.3299028426408698E-2</v>
      </c>
      <c r="O134" s="2">
        <v>2025</v>
      </c>
      <c r="P134" s="2">
        <v>0.1076</v>
      </c>
    </row>
    <row r="135" spans="1:16" ht="14.4" customHeight="1" x14ac:dyDescent="0.3">
      <c r="A135" s="2" t="s">
        <v>148</v>
      </c>
      <c r="B135" s="2">
        <v>2.39219999313354</v>
      </c>
      <c r="C135" s="2">
        <v>1.41699862480163</v>
      </c>
      <c r="D135" s="2">
        <v>0.475935578346252</v>
      </c>
      <c r="E135" s="2">
        <v>0.39830833673477101</v>
      </c>
      <c r="F135" s="2">
        <v>0.122770920395851</v>
      </c>
      <c r="G135" s="2">
        <v>2.7207810431718799E-2</v>
      </c>
      <c r="H135" s="2">
        <v>2024</v>
      </c>
      <c r="I135" s="2">
        <v>2.7065000534057599</v>
      </c>
      <c r="J135" s="2">
        <v>1.37672555446624</v>
      </c>
      <c r="K135" s="2">
        <v>0.576712906360626</v>
      </c>
      <c r="L135" s="2">
        <v>0.55624687671661299</v>
      </c>
      <c r="M135" s="2">
        <v>0.17322312295436801</v>
      </c>
      <c r="N135" s="2">
        <v>2.8772255405783601E-2</v>
      </c>
      <c r="O135" s="2">
        <v>2025</v>
      </c>
      <c r="P135" s="2">
        <v>0.31430000000000002</v>
      </c>
    </row>
    <row r="136" spans="1:16" ht="14.4" customHeight="1" x14ac:dyDescent="0.3">
      <c r="A136" s="2" t="s">
        <v>149</v>
      </c>
      <c r="B136" s="2">
        <v>1.8589999675750699</v>
      </c>
      <c r="C136" s="2">
        <v>0.64459979534149103</v>
      </c>
      <c r="D136" s="2">
        <v>0</v>
      </c>
      <c r="E136" s="2">
        <v>8.6704283952712999E-2</v>
      </c>
      <c r="F136" s="2">
        <v>0</v>
      </c>
      <c r="G136" s="2">
        <v>5.86440935730934E-2</v>
      </c>
      <c r="H136" s="2">
        <v>2024</v>
      </c>
      <c r="I136" s="2">
        <v>1.7209999561309799</v>
      </c>
      <c r="J136" s="2">
        <v>0.62813818454742398</v>
      </c>
      <c r="K136" s="2">
        <v>0</v>
      </c>
      <c r="L136" s="2">
        <v>0.24176324903964899</v>
      </c>
      <c r="M136" s="2">
        <v>0</v>
      </c>
      <c r="N136" s="2">
        <v>8.8470652699470506E-2</v>
      </c>
      <c r="O136" s="2">
        <v>2025</v>
      </c>
      <c r="P136" s="2">
        <v>-0.13800000000000001</v>
      </c>
    </row>
  </sheetData>
  <mergeCells count="1">
    <mergeCell ref="A1:P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73BE-A515-419F-85F3-2B71FA6D5DDD}">
  <sheetPr>
    <tabColor rgb="FF4472C4"/>
  </sheetPr>
  <dimension ref="A1:AN246"/>
  <sheetViews>
    <sheetView showGridLines="0" tabSelected="1" zoomScale="76" zoomScaleNormal="76" workbookViewId="0">
      <selection activeCell="C34" sqref="C34"/>
    </sheetView>
  </sheetViews>
  <sheetFormatPr defaultRowHeight="14.4" x14ac:dyDescent="0.3"/>
  <cols>
    <col min="1" max="1" width="78" customWidth="1"/>
    <col min="2" max="2" width="39.88671875" bestFit="1" customWidth="1"/>
    <col min="3" max="3" width="12.109375" customWidth="1"/>
    <col min="4" max="4" width="28.33203125" bestFit="1" customWidth="1"/>
    <col min="5" max="5" width="13.77734375" bestFit="1" customWidth="1"/>
    <col min="6" max="6" width="10.44140625" customWidth="1"/>
    <col min="7" max="7" width="30.6640625" bestFit="1" customWidth="1"/>
    <col min="8" max="9" width="10.44140625" customWidth="1"/>
    <col min="10" max="10" width="36.33203125" bestFit="1" customWidth="1"/>
    <col min="11" max="12" width="11.44140625" customWidth="1"/>
    <col min="13" max="13" width="22" customWidth="1"/>
    <col min="14" max="14" width="21.88671875" customWidth="1"/>
    <col min="15" max="16" width="18" customWidth="1"/>
    <col min="17" max="17" width="22.5546875" customWidth="1"/>
    <col min="18" max="18" width="8.88671875" customWidth="1"/>
    <col min="19" max="19" width="21.88671875" customWidth="1"/>
    <col min="20" max="20" width="27.44140625" customWidth="1"/>
    <col min="21" max="21" width="8.88671875" customWidth="1"/>
    <col min="22" max="22" width="12" customWidth="1"/>
    <col min="23" max="23" width="27.44140625" customWidth="1"/>
    <col min="24" max="24" width="8.88671875" customWidth="1"/>
    <col min="25" max="25" width="12" customWidth="1"/>
    <col min="26" max="26" width="14.33203125" customWidth="1"/>
    <col min="27" max="27" width="8.88671875" customWidth="1"/>
    <col min="28" max="28" width="21.88671875" customWidth="1"/>
    <col min="29" max="29" width="12" customWidth="1"/>
    <col min="30" max="30" width="21.88671875" customWidth="1"/>
    <col min="32" max="32" width="11.44140625" bestFit="1" customWidth="1"/>
  </cols>
  <sheetData>
    <row r="1" spans="1:40" ht="24" thickBot="1" x14ac:dyDescent="0.5">
      <c r="A1" s="6" t="s">
        <v>150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AD1" s="6"/>
      <c r="AE1" s="6"/>
      <c r="AF1" s="6"/>
      <c r="AG1" s="6"/>
      <c r="AI1" s="6"/>
      <c r="AJ1" s="6"/>
      <c r="AL1" s="6"/>
      <c r="AM1" s="6"/>
      <c r="AN1" t="s">
        <v>158</v>
      </c>
    </row>
    <row r="2" spans="1:40" ht="15" thickTop="1" x14ac:dyDescent="0.3">
      <c r="A2" s="3" t="s">
        <v>151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AD2" s="3"/>
      <c r="AE2" s="3"/>
      <c r="AF2" s="3"/>
      <c r="AG2" s="3"/>
      <c r="AI2" s="3"/>
      <c r="AJ2" s="3"/>
      <c r="AL2" s="3"/>
      <c r="AM2" s="3"/>
      <c r="AN2" t="s">
        <v>153</v>
      </c>
    </row>
    <row r="3" spans="1:40" x14ac:dyDescent="0.3">
      <c r="A3" s="4" t="s">
        <v>152</v>
      </c>
      <c r="B3" s="4" t="s">
        <v>153</v>
      </c>
      <c r="C3" s="4"/>
      <c r="D3" s="4" t="s">
        <v>154</v>
      </c>
      <c r="E3" s="4">
        <v>2025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AD3" s="4"/>
      <c r="AE3" s="4"/>
      <c r="AF3" s="4"/>
      <c r="AG3" s="4"/>
      <c r="AI3" s="4"/>
      <c r="AJ3" s="4"/>
      <c r="AL3" s="4"/>
      <c r="AM3" s="4"/>
      <c r="AN3" t="s">
        <v>16</v>
      </c>
    </row>
    <row r="4" spans="1:40" x14ac:dyDescent="0.3">
      <c r="A4" s="5" t="s">
        <v>155</v>
      </c>
      <c r="B4" s="5" t="s">
        <v>166</v>
      </c>
      <c r="C4" s="5"/>
      <c r="D4" s="5" t="s">
        <v>156</v>
      </c>
      <c r="E4" s="5" t="s">
        <v>157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AD4" s="5"/>
      <c r="AE4" s="5"/>
      <c r="AF4" s="5"/>
      <c r="AG4" s="5"/>
      <c r="AI4" s="5"/>
      <c r="AJ4" s="5"/>
      <c r="AL4" s="5"/>
      <c r="AM4" s="5"/>
      <c r="AN4" t="s">
        <v>17</v>
      </c>
    </row>
    <row r="5" spans="1:40" ht="15" thickBot="1" x14ac:dyDescent="0.35">
      <c r="AN5" t="s">
        <v>18</v>
      </c>
    </row>
    <row r="6" spans="1:40" ht="15" thickTop="1" x14ac:dyDescent="0.3">
      <c r="A6" s="10" t="s">
        <v>159</v>
      </c>
      <c r="B6" s="8"/>
      <c r="C6" s="8"/>
      <c r="D6" s="8" t="s">
        <v>161</v>
      </c>
      <c r="E6" s="8"/>
      <c r="F6" s="8"/>
      <c r="G6" s="8" t="s">
        <v>162</v>
      </c>
      <c r="H6" s="8"/>
      <c r="I6" s="8"/>
      <c r="J6" s="8" t="s">
        <v>164</v>
      </c>
      <c r="K6" s="8"/>
      <c r="L6" s="12"/>
      <c r="AN6" t="s">
        <v>19</v>
      </c>
    </row>
    <row r="7" spans="1:40" ht="18" x14ac:dyDescent="0.35">
      <c r="A7" s="15">
        <f>IF($B$3="All",AVERAGE(WHR_Comparison_2024_vs_2025!B3:B136),INDEX(WHR_Comparison_2024_vs_2025!B3:B136,MATCH($B$3,WHR_Comparison_2024_vs_2025!A3:A136,0)))</f>
        <v>5.5149597054097184</v>
      </c>
      <c r="B7" s="16"/>
      <c r="C7" s="16"/>
      <c r="D7" s="16">
        <f>IF($B$3="All",AVERAGE(WHR_Comparison_2024_vs_2025!I3:I136),INDEX(WHR_Comparison_2024_vs_2025!I3:I136,MATCH($B$3,WHR_Comparison_2024_vs_2025!A3:A136,0)))</f>
        <v>5.5398201426463336</v>
      </c>
      <c r="E7" s="16"/>
      <c r="F7" s="16"/>
      <c r="G7" s="16" t="str">
        <f>IF($B$3&lt;&gt;"All",$B$3&amp;" ("&amp;TEXT(IF($E$3="2024",INDEX(WHR_Comparison_2024_vs_2025!B3:B136,MATCH($B$3,WHR_Comparison_2024_vs_2025!A3:A136,0)),INDEX(WHR_Comparison_2024_vs_2025!I3:I136,MATCH($B$3,WHR_Comparison_2024_vs_2025!A3:A136,0))),"0.00")&amp;")",IF($E$3="2024",INDEX(WHR_Comparison_2024_vs_2025!A3:A136,MATCH(MAX(WHR_Comparison_2024_vs_2025!B3:B136),WHR_Comparison_2024_vs_2025!B3:B136,0))&amp;" ("&amp;TEXT(MAX(WHR_Comparison_2024_vs_2025!B3:B136),"0.00")&amp;")",INDEX(WHR_Comparison_2024_vs_2025!A3:A136,MATCH(MAX(WHR_Comparison_2024_vs_2025!I3:I136),WHR_Comparison_2024_vs_2025!I3:I136,0))&amp;" ("&amp;TEXT(MAX(WHR_Comparison_2024_vs_2025!I3:I136),"0.00")&amp;")"))</f>
        <v>Finland (7.74)</v>
      </c>
      <c r="H7" s="16"/>
      <c r="I7" s="16"/>
      <c r="J7" s="16" t="str">
        <f>IF($B$3&lt;&gt;"All",$B$3&amp;" ("&amp;TEXT(INDEX(WHR_Comparison_2024_vs_2025!P3:P136,MATCH($B$3,WHR_Comparison_2024_vs_2025!A3:A136,0)),"+0.00;-0.00;0.00")&amp;")",IF(MAX(WHR_Comparison_2024_vs_2025!P3:P136)&gt;=-MIN(WHR_Comparison_2024_vs_2025!P3:P136),INDEX(WHR_Comparison_2024_vs_2025!A3:A136,MATCH(MAX(WHR_Comparison_2024_vs_2025!P3:P136),WHR_Comparison_2024_vs_2025!P3:P136,0))&amp;" ("&amp;TEXT(MAX(WHR_Comparison_2024_vs_2025!P3:P136),"+0.00;-0.00;0.00")&amp;")",INDEX(WHR_Comparison_2024_vs_2025!A3:A136,MATCH(MIN(WHR_Comparison_2024_vs_2025!P3:P136),WHR_Comparison_2024_vs_2025!P3:P136,0))&amp;" ("&amp;TEXT(MIN(WHR_Comparison_2024_vs_2025!P3:P136),"+0.00;-0.00;0.00")&amp;")"))</f>
        <v>Sri Lanka (-0.54)</v>
      </c>
      <c r="K7" s="7"/>
      <c r="L7" s="13"/>
      <c r="AN7" t="s">
        <v>20</v>
      </c>
    </row>
    <row r="8" spans="1:40" x14ac:dyDescent="0.3">
      <c r="A8" s="11" t="s">
        <v>160</v>
      </c>
      <c r="B8" s="9"/>
      <c r="C8" s="9"/>
      <c r="D8" s="9" t="s">
        <v>160</v>
      </c>
      <c r="E8" s="9"/>
      <c r="F8" s="9"/>
      <c r="G8" s="9" t="s">
        <v>163</v>
      </c>
      <c r="H8" s="9"/>
      <c r="I8" s="9"/>
      <c r="J8" s="9" t="s">
        <v>165</v>
      </c>
      <c r="K8" s="9"/>
      <c r="L8" s="14"/>
      <c r="AN8" t="s">
        <v>21</v>
      </c>
    </row>
    <row r="9" spans="1:40" x14ac:dyDescent="0.3">
      <c r="AN9" t="s">
        <v>22</v>
      </c>
    </row>
    <row r="10" spans="1:40" x14ac:dyDescent="0.3">
      <c r="AN10" t="s">
        <v>23</v>
      </c>
    </row>
    <row r="11" spans="1:40" x14ac:dyDescent="0.3">
      <c r="AN11" t="s">
        <v>24</v>
      </c>
    </row>
    <row r="12" spans="1:40" x14ac:dyDescent="0.3">
      <c r="AN12" t="s">
        <v>25</v>
      </c>
    </row>
    <row r="13" spans="1:40" x14ac:dyDescent="0.3">
      <c r="AN13" t="s">
        <v>26</v>
      </c>
    </row>
    <row r="14" spans="1:40" x14ac:dyDescent="0.3">
      <c r="AN14" t="s">
        <v>27</v>
      </c>
    </row>
    <row r="15" spans="1:40" x14ac:dyDescent="0.3">
      <c r="AN15" t="s">
        <v>28</v>
      </c>
    </row>
    <row r="16" spans="1:40" x14ac:dyDescent="0.3">
      <c r="AN16" t="s">
        <v>29</v>
      </c>
    </row>
    <row r="17" spans="40:40" x14ac:dyDescent="0.3">
      <c r="AN17" t="s">
        <v>30</v>
      </c>
    </row>
    <row r="18" spans="40:40" x14ac:dyDescent="0.3">
      <c r="AN18" t="s">
        <v>31</v>
      </c>
    </row>
    <row r="19" spans="40:40" x14ac:dyDescent="0.3">
      <c r="AN19" t="s">
        <v>32</v>
      </c>
    </row>
    <row r="20" spans="40:40" x14ac:dyDescent="0.3">
      <c r="AN20" t="s">
        <v>33</v>
      </c>
    </row>
    <row r="21" spans="40:40" x14ac:dyDescent="0.3">
      <c r="AN21" t="s">
        <v>34</v>
      </c>
    </row>
    <row r="22" spans="40:40" x14ac:dyDescent="0.3">
      <c r="AN22" t="s">
        <v>35</v>
      </c>
    </row>
    <row r="23" spans="40:40" x14ac:dyDescent="0.3">
      <c r="AN23" t="s">
        <v>36</v>
      </c>
    </row>
    <row r="24" spans="40:40" x14ac:dyDescent="0.3">
      <c r="AN24" t="s">
        <v>37</v>
      </c>
    </row>
    <row r="25" spans="40:40" x14ac:dyDescent="0.3">
      <c r="AN25" t="s">
        <v>38</v>
      </c>
    </row>
    <row r="26" spans="40:40" x14ac:dyDescent="0.3">
      <c r="AN26" t="s">
        <v>39</v>
      </c>
    </row>
    <row r="27" spans="40:40" x14ac:dyDescent="0.3">
      <c r="AN27" t="s">
        <v>40</v>
      </c>
    </row>
    <row r="28" spans="40:40" x14ac:dyDescent="0.3">
      <c r="AN28" t="s">
        <v>41</v>
      </c>
    </row>
    <row r="29" spans="40:40" x14ac:dyDescent="0.3">
      <c r="AN29" t="s">
        <v>42</v>
      </c>
    </row>
    <row r="30" spans="40:40" x14ac:dyDescent="0.3">
      <c r="AN30" t="s">
        <v>43</v>
      </c>
    </row>
    <row r="31" spans="40:40" x14ac:dyDescent="0.3">
      <c r="AN31" t="s">
        <v>44</v>
      </c>
    </row>
    <row r="32" spans="40:40" x14ac:dyDescent="0.3">
      <c r="AN32" t="s">
        <v>45</v>
      </c>
    </row>
    <row r="33" spans="40:40" x14ac:dyDescent="0.3">
      <c r="AN33" t="s">
        <v>46</v>
      </c>
    </row>
    <row r="34" spans="40:40" x14ac:dyDescent="0.3">
      <c r="AN34" t="s">
        <v>49</v>
      </c>
    </row>
    <row r="35" spans="40:40" x14ac:dyDescent="0.3">
      <c r="AN35" t="s">
        <v>50</v>
      </c>
    </row>
    <row r="36" spans="40:40" x14ac:dyDescent="0.3">
      <c r="AN36" t="s">
        <v>51</v>
      </c>
    </row>
    <row r="37" spans="40:40" x14ac:dyDescent="0.3">
      <c r="AN37" t="s">
        <v>52</v>
      </c>
    </row>
    <row r="38" spans="40:40" x14ac:dyDescent="0.3">
      <c r="AN38" t="s">
        <v>53</v>
      </c>
    </row>
    <row r="39" spans="40:40" x14ac:dyDescent="0.3">
      <c r="AN39" t="s">
        <v>54</v>
      </c>
    </row>
    <row r="40" spans="40:40" x14ac:dyDescent="0.3">
      <c r="AN40" t="s">
        <v>55</v>
      </c>
    </row>
    <row r="41" spans="40:40" x14ac:dyDescent="0.3">
      <c r="AN41" t="s">
        <v>56</v>
      </c>
    </row>
    <row r="42" spans="40:40" x14ac:dyDescent="0.3">
      <c r="AN42" t="s">
        <v>57</v>
      </c>
    </row>
    <row r="43" spans="40:40" x14ac:dyDescent="0.3">
      <c r="AN43" t="s">
        <v>58</v>
      </c>
    </row>
    <row r="44" spans="40:40" x14ac:dyDescent="0.3">
      <c r="AN44" t="s">
        <v>59</v>
      </c>
    </row>
    <row r="45" spans="40:40" x14ac:dyDescent="0.3">
      <c r="AN45" t="s">
        <v>60</v>
      </c>
    </row>
    <row r="46" spans="40:40" x14ac:dyDescent="0.3">
      <c r="AN46" t="s">
        <v>61</v>
      </c>
    </row>
    <row r="47" spans="40:40" x14ac:dyDescent="0.3">
      <c r="AN47" t="s">
        <v>62</v>
      </c>
    </row>
    <row r="48" spans="40:40" x14ac:dyDescent="0.3">
      <c r="AN48" t="s">
        <v>63</v>
      </c>
    </row>
    <row r="49" spans="1:40" x14ac:dyDescent="0.3">
      <c r="AN49" t="s">
        <v>64</v>
      </c>
    </row>
    <row r="50" spans="1:40" x14ac:dyDescent="0.3">
      <c r="AN50" t="s">
        <v>65</v>
      </c>
    </row>
    <row r="51" spans="1:40" x14ac:dyDescent="0.3">
      <c r="AN51" t="s">
        <v>66</v>
      </c>
    </row>
    <row r="52" spans="1:40" x14ac:dyDescent="0.3">
      <c r="AN52" t="s">
        <v>67</v>
      </c>
    </row>
    <row r="53" spans="1:40" x14ac:dyDescent="0.3">
      <c r="AN53" t="s">
        <v>68</v>
      </c>
    </row>
    <row r="54" spans="1:40" x14ac:dyDescent="0.3">
      <c r="AN54" t="s">
        <v>69</v>
      </c>
    </row>
    <row r="55" spans="1:40" x14ac:dyDescent="0.3">
      <c r="AN55" t="s">
        <v>70</v>
      </c>
    </row>
    <row r="56" spans="1:40" x14ac:dyDescent="0.3">
      <c r="AN56" t="s">
        <v>71</v>
      </c>
    </row>
    <row r="57" spans="1:40" x14ac:dyDescent="0.3">
      <c r="AN57" t="s">
        <v>72</v>
      </c>
    </row>
    <row r="58" spans="1:40" x14ac:dyDescent="0.3">
      <c r="AN58" t="s">
        <v>93</v>
      </c>
    </row>
    <row r="59" spans="1:40" ht="18" x14ac:dyDescent="0.35">
      <c r="A59" s="37" t="s">
        <v>176</v>
      </c>
      <c r="B59" s="37"/>
      <c r="C59" s="37"/>
      <c r="D59" s="37"/>
      <c r="AN59" t="s">
        <v>94</v>
      </c>
    </row>
    <row r="60" spans="1:40" x14ac:dyDescent="0.3">
      <c r="A60" s="22" t="s">
        <v>173</v>
      </c>
      <c r="B60" s="23" t="s">
        <v>167</v>
      </c>
      <c r="C60" s="23" t="s">
        <v>168</v>
      </c>
      <c r="D60" s="24" t="s">
        <v>174</v>
      </c>
      <c r="AN60" t="s">
        <v>95</v>
      </c>
    </row>
    <row r="61" spans="1:40" x14ac:dyDescent="0.3">
      <c r="A61" s="19" t="s">
        <v>124</v>
      </c>
      <c r="B61" s="18">
        <v>4.4415998458862296</v>
      </c>
      <c r="C61" s="18">
        <v>3.89809989929199</v>
      </c>
      <c r="D61" s="20">
        <v>-0.54349999999999998</v>
      </c>
      <c r="AN61" t="s">
        <v>96</v>
      </c>
    </row>
    <row r="62" spans="1:40" x14ac:dyDescent="0.3">
      <c r="A62" s="19" t="s">
        <v>88</v>
      </c>
      <c r="B62" s="18">
        <v>5.5229001045226997</v>
      </c>
      <c r="C62" s="18">
        <v>6.0475997924804599</v>
      </c>
      <c r="D62" s="21">
        <v>0.52470000000000006</v>
      </c>
      <c r="AN62" t="s">
        <v>97</v>
      </c>
    </row>
    <row r="63" spans="1:40" x14ac:dyDescent="0.3">
      <c r="A63" s="19" t="s">
        <v>140</v>
      </c>
      <c r="B63" s="18">
        <v>3.9821999073028498</v>
      </c>
      <c r="C63" s="18">
        <v>3.5023999214172301</v>
      </c>
      <c r="D63" s="20">
        <v>-0.4798</v>
      </c>
      <c r="AN63" t="s">
        <v>98</v>
      </c>
    </row>
    <row r="64" spans="1:40" x14ac:dyDescent="0.3">
      <c r="A64" s="19" t="s">
        <v>130</v>
      </c>
      <c r="B64" s="18">
        <v>4.28210020065307</v>
      </c>
      <c r="C64" s="18">
        <v>3.8859000205993599</v>
      </c>
      <c r="D64" s="20">
        <v>-0.3962</v>
      </c>
      <c r="AN64" t="s">
        <v>99</v>
      </c>
    </row>
    <row r="65" spans="1:40" x14ac:dyDescent="0.3">
      <c r="A65" s="19" t="s">
        <v>100</v>
      </c>
      <c r="B65" s="18">
        <v>5.2105998992919904</v>
      </c>
      <c r="C65" s="18">
        <v>5.6066999435424796</v>
      </c>
      <c r="D65" s="21">
        <v>0.39610000000000001</v>
      </c>
      <c r="AN65" t="s">
        <v>100</v>
      </c>
    </row>
    <row r="66" spans="1:40" x14ac:dyDescent="0.3">
      <c r="A66" s="19" t="s">
        <v>118</v>
      </c>
      <c r="B66" s="18">
        <v>4.6135001182556099</v>
      </c>
      <c r="C66" s="18">
        <v>4.9752998352050701</v>
      </c>
      <c r="D66" s="21">
        <v>0.36180000000000001</v>
      </c>
      <c r="AN66" t="s">
        <v>101</v>
      </c>
    </row>
    <row r="67" spans="1:40" x14ac:dyDescent="0.3">
      <c r="A67" s="19" t="s">
        <v>49</v>
      </c>
      <c r="B67" s="18">
        <v>6.3295001983642498</v>
      </c>
      <c r="C67" s="18">
        <v>6.6779999732971103</v>
      </c>
      <c r="D67" s="21">
        <v>0.34849999999999998</v>
      </c>
      <c r="AN67" t="s">
        <v>102</v>
      </c>
    </row>
    <row r="68" spans="1:40" x14ac:dyDescent="0.3">
      <c r="A68" s="19" t="s">
        <v>62</v>
      </c>
      <c r="B68" s="18">
        <v>6.1216001510620099</v>
      </c>
      <c r="C68" s="18">
        <v>6.4686999320983798</v>
      </c>
      <c r="D68" s="21">
        <v>0.34710000000000002</v>
      </c>
      <c r="AN68" t="s">
        <v>103</v>
      </c>
    </row>
    <row r="69" spans="1:40" x14ac:dyDescent="0.3">
      <c r="A69" s="19" t="s">
        <v>37</v>
      </c>
      <c r="B69" s="18">
        <v>6.6085000038146902</v>
      </c>
      <c r="C69" s="18">
        <v>6.95539999008178</v>
      </c>
      <c r="D69" s="21">
        <v>0.34689999999999999</v>
      </c>
      <c r="AN69" t="s">
        <v>104</v>
      </c>
    </row>
    <row r="70" spans="1:40" x14ac:dyDescent="0.3">
      <c r="A70" s="19" t="s">
        <v>119</v>
      </c>
      <c r="B70" s="18">
        <v>4.6050000190734801</v>
      </c>
      <c r="C70" s="18">
        <v>4.2894001007079998</v>
      </c>
      <c r="D70" s="20">
        <v>-0.31559999999999999</v>
      </c>
      <c r="AN70" t="s">
        <v>105</v>
      </c>
    </row>
    <row r="71" spans="1:40" x14ac:dyDescent="0.3">
      <c r="A71" s="19" t="s">
        <v>87</v>
      </c>
      <c r="B71" s="18">
        <v>5.52589988708496</v>
      </c>
      <c r="C71" s="18">
        <v>5.8408999443054199</v>
      </c>
      <c r="D71" s="21">
        <v>0.315</v>
      </c>
      <c r="AN71" t="s">
        <v>106</v>
      </c>
    </row>
    <row r="72" spans="1:40" x14ac:dyDescent="0.3">
      <c r="A72" s="19" t="s">
        <v>148</v>
      </c>
      <c r="B72" s="18">
        <v>2.39219999313354</v>
      </c>
      <c r="C72" s="18">
        <v>2.7065000534057599</v>
      </c>
      <c r="D72" s="21">
        <v>0.31430000000000002</v>
      </c>
      <c r="AN72" t="s">
        <v>107</v>
      </c>
    </row>
    <row r="73" spans="1:40" x14ac:dyDescent="0.3">
      <c r="A73" s="19" t="s">
        <v>96</v>
      </c>
      <c r="B73" s="18">
        <v>5.2768998146057102</v>
      </c>
      <c r="C73" s="18">
        <v>5.5682997703552202</v>
      </c>
      <c r="D73" s="21">
        <v>0.29139999999999999</v>
      </c>
      <c r="AN73" t="s">
        <v>108</v>
      </c>
    </row>
    <row r="74" spans="1:40" x14ac:dyDescent="0.3">
      <c r="A74" s="19" t="s">
        <v>77</v>
      </c>
      <c r="B74" s="18">
        <v>5.7632999420165998</v>
      </c>
      <c r="C74" s="18">
        <v>6.0430002212524396</v>
      </c>
      <c r="D74" s="21">
        <v>0.2797</v>
      </c>
      <c r="AN74" t="s">
        <v>109</v>
      </c>
    </row>
    <row r="75" spans="1:40" x14ac:dyDescent="0.3">
      <c r="A75" s="19" t="s">
        <v>57</v>
      </c>
      <c r="B75" s="18">
        <v>6.1435999870300204</v>
      </c>
      <c r="C75" s="18">
        <v>6.4107999801635698</v>
      </c>
      <c r="D75" s="21">
        <v>0.26719999999999999</v>
      </c>
      <c r="AN75" t="s">
        <v>110</v>
      </c>
    </row>
    <row r="76" spans="1:40" x14ac:dyDescent="0.3">
      <c r="A76" s="19" t="s">
        <v>109</v>
      </c>
      <c r="B76" s="18">
        <v>4.9539999961853001</v>
      </c>
      <c r="C76" s="18">
        <v>5.2164001464843697</v>
      </c>
      <c r="D76" s="21">
        <v>0.26240000000000002</v>
      </c>
      <c r="AN76" t="s">
        <v>111</v>
      </c>
    </row>
    <row r="77" spans="1:40" x14ac:dyDescent="0.3">
      <c r="A77" s="19" t="s">
        <v>85</v>
      </c>
      <c r="B77" s="18">
        <v>5.5689001083373997</v>
      </c>
      <c r="C77" s="18">
        <v>5.8228001594543404</v>
      </c>
      <c r="D77" s="21">
        <v>0.25390000000000001</v>
      </c>
      <c r="AN77" t="s">
        <v>112</v>
      </c>
    </row>
    <row r="78" spans="1:40" x14ac:dyDescent="0.3">
      <c r="A78" s="19" t="s">
        <v>83</v>
      </c>
      <c r="B78" s="18">
        <v>5.6325001716613698</v>
      </c>
      <c r="C78" s="18">
        <v>5.8769998550415004</v>
      </c>
      <c r="D78" s="21">
        <v>0.2445</v>
      </c>
      <c r="AN78" t="s">
        <v>113</v>
      </c>
    </row>
    <row r="79" spans="1:40" x14ac:dyDescent="0.3">
      <c r="A79" s="19" t="s">
        <v>78</v>
      </c>
      <c r="B79" s="18">
        <v>5.7378001213073704</v>
      </c>
      <c r="C79" s="18">
        <v>5.9765000343322701</v>
      </c>
      <c r="D79" s="21">
        <v>0.2387</v>
      </c>
      <c r="AN79" t="s">
        <v>114</v>
      </c>
    </row>
    <row r="80" spans="1:40" x14ac:dyDescent="0.3">
      <c r="A80" s="25" t="s">
        <v>136</v>
      </c>
      <c r="B80" s="26">
        <v>4.0906000137329102</v>
      </c>
      <c r="C80" s="26">
        <v>3.86089992523193</v>
      </c>
      <c r="D80" s="27">
        <v>-0.22969999999999999</v>
      </c>
      <c r="AN80" t="s">
        <v>115</v>
      </c>
    </row>
    <row r="81" spans="1:40" x14ac:dyDescent="0.3">
      <c r="AN81" t="s">
        <v>116</v>
      </c>
    </row>
    <row r="83" spans="1:40" x14ac:dyDescent="0.3">
      <c r="A83" s="17" t="s">
        <v>175</v>
      </c>
    </row>
    <row r="84" spans="1:40" ht="21" x14ac:dyDescent="0.4">
      <c r="A84" s="39" t="s">
        <v>182</v>
      </c>
      <c r="B84" s="39"/>
      <c r="C84" s="39"/>
      <c r="D84" s="39"/>
      <c r="E84" s="39"/>
      <c r="F84" s="39"/>
      <c r="G84" s="39"/>
      <c r="H84" s="39"/>
      <c r="I84" s="39"/>
      <c r="J84" s="39"/>
      <c r="L84" s="37" t="s">
        <v>181</v>
      </c>
      <c r="M84" s="37"/>
      <c r="O84" s="38"/>
      <c r="P84" s="38"/>
    </row>
    <row r="85" spans="1:40" x14ac:dyDescent="0.3">
      <c r="A85" s="31" t="s">
        <v>0</v>
      </c>
      <c r="B85" s="34" t="s">
        <v>167</v>
      </c>
      <c r="C85" s="34" t="s">
        <v>177</v>
      </c>
      <c r="D85" s="34" t="s">
        <v>169</v>
      </c>
      <c r="E85" s="34" t="s">
        <v>178</v>
      </c>
      <c r="F85" s="34" t="s">
        <v>170</v>
      </c>
      <c r="G85" s="34" t="s">
        <v>171</v>
      </c>
      <c r="H85" s="34" t="s">
        <v>179</v>
      </c>
      <c r="I85" s="34" t="s">
        <v>172</v>
      </c>
      <c r="J85" s="30" t="s">
        <v>180</v>
      </c>
      <c r="L85" s="31" t="s">
        <v>0</v>
      </c>
      <c r="M85" s="30" t="s">
        <v>169</v>
      </c>
    </row>
    <row r="86" spans="1:40" x14ac:dyDescent="0.3">
      <c r="A86" s="32"/>
      <c r="B86" s="2"/>
      <c r="C86" s="2"/>
      <c r="D86" s="2"/>
      <c r="E86" s="2"/>
      <c r="F86" s="2"/>
      <c r="G86" s="2"/>
      <c r="H86" s="2"/>
      <c r="I86" s="2"/>
      <c r="J86" s="33"/>
      <c r="L86" s="32"/>
      <c r="M86" s="33"/>
    </row>
    <row r="87" spans="1:40" x14ac:dyDescent="0.3">
      <c r="A87" s="32" t="str">
        <f>IF($B$3="All",WHR_Comparison_2024_vs_2025!A3,IF(WHR_Comparison_2024_vs_2025!A3=$B$3,WHR_Comparison_2024_vs_2025!A3,NA()))</f>
        <v>Finland</v>
      </c>
      <c r="B87" s="2">
        <f>IFERROR(IF($B$3="All",WHR_Comparison_2024_vs_2025!B3,IF(WHR_Comparison_2024_vs_2025!A3=$B$3,WHR_Comparison_2024_vs_2025!B3,NA())),NA())</f>
        <v>7.8042001724243102</v>
      </c>
      <c r="C87" s="2">
        <f>IFERROR(IF($B$3="All",WHR_Comparison_2024_vs_2025!I3,IF(WHR_Comparison_2024_vs_2025!A3=$B$3,WHR_Comparison_2024_vs_2025!I3,NA())),NA())</f>
        <v>7.7406997680664</v>
      </c>
      <c r="D87" s="2">
        <f>IFERROR(IF($B$3="All",WHR_Comparison_2024_vs_2025!P3,IF(WHR_Comparison_2024_vs_2025!A3=$B$3,WHR_Comparison_2024_vs_2025!P3,NA())),NA())</f>
        <v>-6.3500000000000001E-2</v>
      </c>
      <c r="E87" s="2" t="str">
        <f>INDEX(WHR_Comparison_2024_vs_2025!A$3:A$136,MATCH(F87,IF($E$3="2024",WHR_Comparison_2024_vs_2025!B$3:B$136,WHR_Comparison_2024_vs_2025!I$3:I$136),0))</f>
        <v>Finland</v>
      </c>
      <c r="F87" s="2">
        <f>LARGE(IF($E$3="2024",WHR_Comparison_2024_vs_2025!B$3:B$136,WHR_Comparison_2024_vs_2025!I$3:I$136),ROW(A1))</f>
        <v>7.7406997680664</v>
      </c>
      <c r="G87" s="2">
        <f>IFERROR(IF($B$3="All",IF($E$3="2024",WHR_Comparison_2024_vs_2025!C3,WHR_Comparison_2024_vs_2025!J3),IF(WHR_Comparison_2024_vs_2025!A3=$B$3,IF($E$3="2024",WHR_Comparison_2024_vs_2025!C3,WHR_Comparison_2024_vs_2025!J3),NA())),NA())</f>
        <v>1.8440535068511901</v>
      </c>
      <c r="H87" s="2">
        <f>IFERROR(IF($B$3="All",IF($E$3="2024",WHR_Comparison_2024_vs_2025!B3,WHR_Comparison_2024_vs_2025!I3),IF(WHR_Comparison_2024_vs_2025!A3=$B$3,IF($E$3="2024",WHR_Comparison_2024_vs_2025!B3,WHR_Comparison_2024_vs_2025!I3),NA())),NA())</f>
        <v>7.7406997680664</v>
      </c>
      <c r="I87" s="2">
        <f>IFERROR(IF($B$3="All",IF($E$3="2024",WHR_Comparison_2024_vs_2025!F3,WHR_Comparison_2024_vs_2025!M3),IF(WHR_Comparison_2024_vs_2025!A3=$B$3,IF($E$3="2024",WHR_Comparison_2024_vs_2025!F3,WHR_Comparison_2024_vs_2025!M3),NA())),NA())</f>
        <v>0.85929417610168402</v>
      </c>
      <c r="J87" s="33">
        <f>IFERROR(IF($B$3="All",IF($E$3="2024",WHR_Comparison_2024_vs_2025!B3,WHR_Comparison_2024_vs_2025!I3),IF(WHR_Comparison_2024_vs_2025!A3=$B$3,IF($E$3="2024",WHR_Comparison_2024_vs_2025!B3,WHR_Comparison_2024_vs_2025!I3),NA())),NA())</f>
        <v>7.7406997680664</v>
      </c>
      <c r="L87" s="32" t="str">
        <f t="shared" ref="L87:L106" si="0">A61</f>
        <v>Sri Lanka</v>
      </c>
      <c r="M87" s="33">
        <f t="shared" ref="M87:M106" si="1">D61</f>
        <v>-0.54349999999999998</v>
      </c>
    </row>
    <row r="88" spans="1:40" x14ac:dyDescent="0.3">
      <c r="A88" s="32" t="str">
        <f>IF($B$3="All",WHR_Comparison_2024_vs_2025!A4,IF(WHR_Comparison_2024_vs_2025!A4=$B$3,WHR_Comparison_2024_vs_2025!A4,NA()))</f>
        <v>Denmark</v>
      </c>
      <c r="B88" s="2">
        <f>IFERROR(IF($B$3="All",WHR_Comparison_2024_vs_2025!B4,IF(WHR_Comparison_2024_vs_2025!A4=$B$3,WHR_Comparison_2024_vs_2025!B4,NA())),NA())</f>
        <v>7.5864000320434499</v>
      </c>
      <c r="C88" s="2">
        <f>IFERROR(IF($B$3="All",WHR_Comparison_2024_vs_2025!I4,IF(WHR_Comparison_2024_vs_2025!A4=$B$3,WHR_Comparison_2024_vs_2025!I4,NA())),NA())</f>
        <v>7.5826997756957999</v>
      </c>
      <c r="D88" s="2">
        <f>IFERROR(IF($B$3="All",WHR_Comparison_2024_vs_2025!P4,IF(WHR_Comparison_2024_vs_2025!A4=$B$3,WHR_Comparison_2024_vs_2025!P4,NA())),NA())</f>
        <v>-3.7000000000000002E-3</v>
      </c>
      <c r="E88" s="2" t="str">
        <f>INDEX(WHR_Comparison_2024_vs_2025!A$3:A$136,MATCH(F88,IF($E$3="2024",WHR_Comparison_2024_vs_2025!B$3:B$136,WHR_Comparison_2024_vs_2025!I$3:I$136),0))</f>
        <v>Denmark</v>
      </c>
      <c r="F88" s="2">
        <f>LARGE(IF($E$3="2024",WHR_Comparison_2024_vs_2025!B$3:B$136,WHR_Comparison_2024_vs_2025!I$3:I$136),ROW(A2))</f>
        <v>7.5826997756957999</v>
      </c>
      <c r="G88" s="2">
        <f>IFERROR(IF($B$3="All",IF($E$3="2024",WHR_Comparison_2024_vs_2025!C4,WHR_Comparison_2024_vs_2025!J4),IF(WHR_Comparison_2024_vs_2025!A4=$B$3,IF($E$3="2024",WHR_Comparison_2024_vs_2025!C4,WHR_Comparison_2024_vs_2025!J4),NA())),NA())</f>
        <v>1.90779769420623</v>
      </c>
      <c r="H88" s="2">
        <f>IFERROR(IF($B$3="All",IF($E$3="2024",WHR_Comparison_2024_vs_2025!B4,WHR_Comparison_2024_vs_2025!I4),IF(WHR_Comparison_2024_vs_2025!A4=$B$3,IF($E$3="2024",WHR_Comparison_2024_vs_2025!B4,WHR_Comparison_2024_vs_2025!I4),NA())),NA())</f>
        <v>7.5826997756957999</v>
      </c>
      <c r="I88" s="2">
        <f>IFERROR(IF($B$3="All",IF($E$3="2024",WHR_Comparison_2024_vs_2025!F4,WHR_Comparison_2024_vs_2025!M4),IF(WHR_Comparison_2024_vs_2025!A4=$B$3,IF($E$3="2024",WHR_Comparison_2024_vs_2025!F4,WHR_Comparison_2024_vs_2025!M4),NA())),NA())</f>
        <v>0.82273989915847701</v>
      </c>
      <c r="J88" s="33">
        <f>IFERROR(IF($B$3="All",IF($E$3="2024",WHR_Comparison_2024_vs_2025!B4,WHR_Comparison_2024_vs_2025!I4),IF(WHR_Comparison_2024_vs_2025!A4=$B$3,IF($E$3="2024",WHR_Comparison_2024_vs_2025!B4,WHR_Comparison_2024_vs_2025!I4),NA())),NA())</f>
        <v>7.5826997756957999</v>
      </c>
      <c r="L88" s="32" t="str">
        <f t="shared" si="0"/>
        <v>Philippines</v>
      </c>
      <c r="M88" s="33">
        <f t="shared" si="1"/>
        <v>0.52470000000000006</v>
      </c>
    </row>
    <row r="89" spans="1:40" x14ac:dyDescent="0.3">
      <c r="A89" s="32" t="str">
        <f>IF($B$3="All",WHR_Comparison_2024_vs_2025!A5,IF(WHR_Comparison_2024_vs_2025!A5=$B$3,WHR_Comparison_2024_vs_2025!A5,NA()))</f>
        <v>Iceland</v>
      </c>
      <c r="B89" s="2">
        <f>IFERROR(IF($B$3="All",WHR_Comparison_2024_vs_2025!B5,IF(WHR_Comparison_2024_vs_2025!A5=$B$3,WHR_Comparison_2024_vs_2025!B5,NA())),NA())</f>
        <v>7.5296001434326101</v>
      </c>
      <c r="C89" s="2">
        <f>IFERROR(IF($B$3="All",WHR_Comparison_2024_vs_2025!I5,IF(WHR_Comparison_2024_vs_2025!A5=$B$3,WHR_Comparison_2024_vs_2025!I5,NA())),NA())</f>
        <v>7.5251002311706499</v>
      </c>
      <c r="D89" s="2">
        <f>IFERROR(IF($B$3="All",WHR_Comparison_2024_vs_2025!P5,IF(WHR_Comparison_2024_vs_2025!A5=$B$3,WHR_Comparison_2024_vs_2025!P5,NA())),NA())</f>
        <v>-4.4999999999999997E-3</v>
      </c>
      <c r="E89" s="2" t="str">
        <f>INDEX(WHR_Comparison_2024_vs_2025!A$3:A$136,MATCH(F89,IF($E$3="2024",WHR_Comparison_2024_vs_2025!B$3:B$136,WHR_Comparison_2024_vs_2025!I$3:I$136),0))</f>
        <v>Iceland</v>
      </c>
      <c r="F89" s="2">
        <f>LARGE(IF($E$3="2024",WHR_Comparison_2024_vs_2025!B$3:B$136,WHR_Comparison_2024_vs_2025!I$3:I$136),ROW(A3))</f>
        <v>7.5251002311706499</v>
      </c>
      <c r="G89" s="2">
        <f>IFERROR(IF($B$3="All",IF($E$3="2024",WHR_Comparison_2024_vs_2025!C5,WHR_Comparison_2024_vs_2025!J5),IF(WHR_Comparison_2024_vs_2025!A5=$B$3,IF($E$3="2024",WHR_Comparison_2024_vs_2025!C5,WHR_Comparison_2024_vs_2025!J5),NA())),NA())</f>
        <v>1.8807179927825901</v>
      </c>
      <c r="H89" s="2">
        <f>IFERROR(IF($B$3="All",IF($E$3="2024",WHR_Comparison_2024_vs_2025!B5,WHR_Comparison_2024_vs_2025!I5),IF(WHR_Comparison_2024_vs_2025!A5=$B$3,IF($E$3="2024",WHR_Comparison_2024_vs_2025!B5,WHR_Comparison_2024_vs_2025!I5),NA())),NA())</f>
        <v>7.5251002311706499</v>
      </c>
      <c r="I89" s="2">
        <f>IFERROR(IF($B$3="All",IF($E$3="2024",WHR_Comparison_2024_vs_2025!F5,WHR_Comparison_2024_vs_2025!M5),IF(WHR_Comparison_2024_vs_2025!A5=$B$3,IF($E$3="2024",WHR_Comparison_2024_vs_2025!F5,WHR_Comparison_2024_vs_2025!M5),NA())),NA())</f>
        <v>0.81850868463516202</v>
      </c>
      <c r="J89" s="33">
        <f>IFERROR(IF($B$3="All",IF($E$3="2024",WHR_Comparison_2024_vs_2025!B5,WHR_Comparison_2024_vs_2025!I5),IF(WHR_Comparison_2024_vs_2025!A5=$B$3,IF($E$3="2024",WHR_Comparison_2024_vs_2025!B5,WHR_Comparison_2024_vs_2025!I5),NA())),NA())</f>
        <v>7.5251002311706499</v>
      </c>
      <c r="L89" s="32" t="str">
        <f t="shared" si="0"/>
        <v>Zambia</v>
      </c>
      <c r="M89" s="33">
        <f t="shared" si="1"/>
        <v>-0.4798</v>
      </c>
    </row>
    <row r="90" spans="1:40" x14ac:dyDescent="0.3">
      <c r="A90" s="32" t="str">
        <f>IF($B$3="All",WHR_Comparison_2024_vs_2025!A6,IF(WHR_Comparison_2024_vs_2025!A6=$B$3,WHR_Comparison_2024_vs_2025!A6,NA()))</f>
        <v>Norway</v>
      </c>
      <c r="B90" s="2">
        <f>IFERROR(IF($B$3="All",WHR_Comparison_2024_vs_2025!B6,IF(WHR_Comparison_2024_vs_2025!A6=$B$3,WHR_Comparison_2024_vs_2025!B6,NA())),NA())</f>
        <v>7.47289991378784</v>
      </c>
      <c r="C90" s="2">
        <f>IFERROR(IF($B$3="All",WHR_Comparison_2024_vs_2025!I6,IF(WHR_Comparison_2024_vs_2025!A6=$B$3,WHR_Comparison_2024_vs_2025!I6,NA())),NA())</f>
        <v>7.3411002159118599</v>
      </c>
      <c r="D90" s="2">
        <f>IFERROR(IF($B$3="All",WHR_Comparison_2024_vs_2025!P6,IF(WHR_Comparison_2024_vs_2025!A6=$B$3,WHR_Comparison_2024_vs_2025!P6,NA())),NA())</f>
        <v>-0.1318</v>
      </c>
      <c r="E90" s="2" t="str">
        <f>INDEX(WHR_Comparison_2024_vs_2025!A$3:A$136,MATCH(F90,IF($E$3="2024",WHR_Comparison_2024_vs_2025!B$3:B$136,WHR_Comparison_2024_vs_2025!I$3:I$136),0))</f>
        <v>Sweden</v>
      </c>
      <c r="F90" s="2">
        <f>LARGE(IF($E$3="2024",WHR_Comparison_2024_vs_2025!B$3:B$136,WHR_Comparison_2024_vs_2025!I$3:I$136),ROW(A4))</f>
        <v>7.3440999984741202</v>
      </c>
      <c r="G90" s="2">
        <f>IFERROR(IF($B$3="All",IF($E$3="2024",WHR_Comparison_2024_vs_2025!C6,WHR_Comparison_2024_vs_2025!J6),IF(WHR_Comparison_2024_vs_2025!A6=$B$3,IF($E$3="2024",WHR_Comparison_2024_vs_2025!C6,WHR_Comparison_2024_vs_2025!J6),NA())),NA())</f>
        <v>1.80293357372283</v>
      </c>
      <c r="H90" s="2">
        <f>IFERROR(IF($B$3="All",IF($E$3="2024",WHR_Comparison_2024_vs_2025!B6,WHR_Comparison_2024_vs_2025!I6),IF(WHR_Comparison_2024_vs_2025!A6=$B$3,IF($E$3="2024",WHR_Comparison_2024_vs_2025!B6,WHR_Comparison_2024_vs_2025!I6),NA())),NA())</f>
        <v>7.3411002159118599</v>
      </c>
      <c r="I90" s="2">
        <f>IFERROR(IF($B$3="All",IF($E$3="2024",WHR_Comparison_2024_vs_2025!F6,WHR_Comparison_2024_vs_2025!M6),IF(WHR_Comparison_2024_vs_2025!A6=$B$3,IF($E$3="2024",WHR_Comparison_2024_vs_2025!F6,WHR_Comparison_2024_vs_2025!M6),NA())),NA())</f>
        <v>0.641462862491607</v>
      </c>
      <c r="J90" s="33">
        <f>IFERROR(IF($B$3="All",IF($E$3="2024",WHR_Comparison_2024_vs_2025!B6,WHR_Comparison_2024_vs_2025!I6),IF(WHR_Comparison_2024_vs_2025!A6=$B$3,IF($E$3="2024",WHR_Comparison_2024_vs_2025!B6,WHR_Comparison_2024_vs_2025!I6),NA())),NA())</f>
        <v>7.3411002159118599</v>
      </c>
      <c r="L90" s="32" t="str">
        <f t="shared" si="0"/>
        <v>Bangladesh</v>
      </c>
      <c r="M90" s="33">
        <f t="shared" si="1"/>
        <v>-0.3962</v>
      </c>
    </row>
    <row r="91" spans="1:40" x14ac:dyDescent="0.3">
      <c r="A91" s="32" t="str">
        <f>IF($B$3="All",WHR_Comparison_2024_vs_2025!A7,IF(WHR_Comparison_2024_vs_2025!A7=$B$3,WHR_Comparison_2024_vs_2025!A7,NA()))</f>
        <v>Netherlands</v>
      </c>
      <c r="B91" s="2">
        <f>IFERROR(IF($B$3="All",WHR_Comparison_2024_vs_2025!B7,IF(WHR_Comparison_2024_vs_2025!A7=$B$3,WHR_Comparison_2024_vs_2025!B7,NA())),NA())</f>
        <v>7.4029998779296804</v>
      </c>
      <c r="C91" s="2">
        <f>IFERROR(IF($B$3="All",WHR_Comparison_2024_vs_2025!I7,IF(WHR_Comparison_2024_vs_2025!A7=$B$3,WHR_Comparison_2024_vs_2025!I7,NA())),NA())</f>
        <v>7.3193998336791903</v>
      </c>
      <c r="D91" s="2">
        <f>IFERROR(IF($B$3="All",WHR_Comparison_2024_vs_2025!P7,IF(WHR_Comparison_2024_vs_2025!A7=$B$3,WHR_Comparison_2024_vs_2025!P7,NA())),NA())</f>
        <v>-8.3599999999999994E-2</v>
      </c>
      <c r="E91" s="2" t="str">
        <f>INDEX(WHR_Comparison_2024_vs_2025!A$3:A$136,MATCH(F91,IF($E$3="2024",WHR_Comparison_2024_vs_2025!B$3:B$136,WHR_Comparison_2024_vs_2025!I$3:I$136),0))</f>
        <v>Norway</v>
      </c>
      <c r="F91" s="2">
        <f>LARGE(IF($E$3="2024",WHR_Comparison_2024_vs_2025!B$3:B$136,WHR_Comparison_2024_vs_2025!I$3:I$136),ROW(A5))</f>
        <v>7.3411002159118599</v>
      </c>
      <c r="G91" s="2">
        <f>IFERROR(IF($B$3="All",IF($E$3="2024",WHR_Comparison_2024_vs_2025!C7,WHR_Comparison_2024_vs_2025!J7),IF(WHR_Comparison_2024_vs_2025!A7=$B$3,IF($E$3="2024",WHR_Comparison_2024_vs_2025!C7,WHR_Comparison_2024_vs_2025!J7),NA())),NA())</f>
        <v>1.90065670013427</v>
      </c>
      <c r="H91" s="2">
        <f>IFERROR(IF($B$3="All",IF($E$3="2024",WHR_Comparison_2024_vs_2025!B7,WHR_Comparison_2024_vs_2025!I7),IF(WHR_Comparison_2024_vs_2025!A7=$B$3,IF($E$3="2024",WHR_Comparison_2024_vs_2025!B7,WHR_Comparison_2024_vs_2025!I7),NA())),NA())</f>
        <v>7.3193998336791903</v>
      </c>
      <c r="I91" s="2">
        <f>IFERROR(IF($B$3="All",IF($E$3="2024",WHR_Comparison_2024_vs_2025!F7,WHR_Comparison_2024_vs_2025!M7),IF(WHR_Comparison_2024_vs_2025!A7=$B$3,IF($E$3="2024",WHR_Comparison_2024_vs_2025!F7,WHR_Comparison_2024_vs_2025!M7),NA())),NA())</f>
        <v>0.72508126497268599</v>
      </c>
      <c r="J91" s="33">
        <f>IFERROR(IF($B$3="All",IF($E$3="2024",WHR_Comparison_2024_vs_2025!B7,WHR_Comparison_2024_vs_2025!I7),IF(WHR_Comparison_2024_vs_2025!A7=$B$3,IF($E$3="2024",WHR_Comparison_2024_vs_2025!B7,WHR_Comparison_2024_vs_2025!I7),NA())),NA())</f>
        <v>7.3193998336791903</v>
      </c>
      <c r="L91" s="32" t="str">
        <f t="shared" si="0"/>
        <v>Venezuela</v>
      </c>
      <c r="M91" s="33">
        <f t="shared" si="1"/>
        <v>0.39610000000000001</v>
      </c>
    </row>
    <row r="92" spans="1:40" x14ac:dyDescent="0.3">
      <c r="A92" s="32" t="str">
        <f>IF($B$3="All",WHR_Comparison_2024_vs_2025!A8,IF(WHR_Comparison_2024_vs_2025!A8=$B$3,WHR_Comparison_2024_vs_2025!A8,NA()))</f>
        <v>Sweden</v>
      </c>
      <c r="B92" s="2">
        <f>IFERROR(IF($B$3="All",WHR_Comparison_2024_vs_2025!B8,IF(WHR_Comparison_2024_vs_2025!A8=$B$3,WHR_Comparison_2024_vs_2025!B8,NA())),NA())</f>
        <v>7.3951997756957999</v>
      </c>
      <c r="C92" s="2">
        <f>IFERROR(IF($B$3="All",WHR_Comparison_2024_vs_2025!I8,IF(WHR_Comparison_2024_vs_2025!A8=$B$3,WHR_Comparison_2024_vs_2025!I8,NA())),NA())</f>
        <v>7.3440999984741202</v>
      </c>
      <c r="D92" s="2">
        <f>IFERROR(IF($B$3="All",WHR_Comparison_2024_vs_2025!P8,IF(WHR_Comparison_2024_vs_2025!A8=$B$3,WHR_Comparison_2024_vs_2025!P8,NA())),NA())</f>
        <v>-5.11E-2</v>
      </c>
      <c r="E92" s="2" t="str">
        <f>INDEX(WHR_Comparison_2024_vs_2025!A$3:A$136,MATCH(F92,IF($E$3="2024",WHR_Comparison_2024_vs_2025!B$3:B$136,WHR_Comparison_2024_vs_2025!I$3:I$136),0))</f>
        <v>Netherlands</v>
      </c>
      <c r="F92" s="2">
        <f>LARGE(IF($E$3="2024",WHR_Comparison_2024_vs_2025!B$3:B$136,WHR_Comparison_2024_vs_2025!I$3:I$136),ROW(A6))</f>
        <v>7.3193998336791903</v>
      </c>
      <c r="G92" s="2">
        <f>IFERROR(IF($B$3="All",IF($E$3="2024",WHR_Comparison_2024_vs_2025!C8,WHR_Comparison_2024_vs_2025!J8),IF(WHR_Comparison_2024_vs_2025!A8=$B$3,IF($E$3="2024",WHR_Comparison_2024_vs_2025!C8,WHR_Comparison_2024_vs_2025!J8),NA())),NA())</f>
        <v>1.87814557552337</v>
      </c>
      <c r="H92" s="2">
        <f>IFERROR(IF($B$3="All",IF($E$3="2024",WHR_Comparison_2024_vs_2025!B8,WHR_Comparison_2024_vs_2025!I8),IF(WHR_Comparison_2024_vs_2025!A8=$B$3,IF($E$3="2024",WHR_Comparison_2024_vs_2025!B8,WHR_Comparison_2024_vs_2025!I8),NA())),NA())</f>
        <v>7.3440999984741202</v>
      </c>
      <c r="I92" s="2">
        <f>IFERROR(IF($B$3="All",IF($E$3="2024",WHR_Comparison_2024_vs_2025!F8,WHR_Comparison_2024_vs_2025!M8),IF(WHR_Comparison_2024_vs_2025!A8=$B$3,IF($E$3="2024",WHR_Comparison_2024_vs_2025!F8,WHR_Comparison_2024_vs_2025!M8),NA())),NA())</f>
        <v>0.83826935291290205</v>
      </c>
      <c r="J92" s="33">
        <f>IFERROR(IF($B$3="All",IF($E$3="2024",WHR_Comparison_2024_vs_2025!B8,WHR_Comparison_2024_vs_2025!I8),IF(WHR_Comparison_2024_vs_2025!A8=$B$3,IF($E$3="2024",WHR_Comparison_2024_vs_2025!B8,WHR_Comparison_2024_vs_2025!I8),NA())),NA())</f>
        <v>7.3440999984741202</v>
      </c>
      <c r="L92" s="32" t="str">
        <f t="shared" si="0"/>
        <v>Turkiye</v>
      </c>
      <c r="M92" s="33">
        <f t="shared" si="1"/>
        <v>0.36180000000000001</v>
      </c>
    </row>
    <row r="93" spans="1:40" x14ac:dyDescent="0.3">
      <c r="A93" s="32" t="str">
        <f>IF($B$3="All",WHR_Comparison_2024_vs_2025!A9,IF(WHR_Comparison_2024_vs_2025!A9=$B$3,WHR_Comparison_2024_vs_2025!A9,NA()))</f>
        <v>Switzerland</v>
      </c>
      <c r="B93" s="2">
        <f>IFERROR(IF($B$3="All",WHR_Comparison_2024_vs_2025!B9,IF(WHR_Comparison_2024_vs_2025!A9=$B$3,WHR_Comparison_2024_vs_2025!B9,NA())),NA())</f>
        <v>7.2400999069213796</v>
      </c>
      <c r="C93" s="2">
        <f>IFERROR(IF($B$3="All",WHR_Comparison_2024_vs_2025!I9,IF(WHR_Comparison_2024_vs_2025!A9=$B$3,WHR_Comparison_2024_vs_2025!I9,NA())),NA())</f>
        <v>7.0602002143859801</v>
      </c>
      <c r="D93" s="2">
        <f>IFERROR(IF($B$3="All",WHR_Comparison_2024_vs_2025!P9,IF(WHR_Comparison_2024_vs_2025!A9=$B$3,WHR_Comparison_2024_vs_2025!P9,NA())),NA())</f>
        <v>-0.1799</v>
      </c>
      <c r="E93" s="2" t="str">
        <f>INDEX(WHR_Comparison_2024_vs_2025!A$3:A$136,MATCH(F93,IF($E$3="2024",WHR_Comparison_2024_vs_2025!B$3:B$136,WHR_Comparison_2024_vs_2025!I$3:I$136),0))</f>
        <v>Luxembourg</v>
      </c>
      <c r="F93" s="2">
        <f>LARGE(IF($E$3="2024",WHR_Comparison_2024_vs_2025!B$3:B$136,WHR_Comparison_2024_vs_2025!I$3:I$136),ROW(A7))</f>
        <v>7.1219000816345197</v>
      </c>
      <c r="G93" s="2">
        <f>IFERROR(IF($B$3="All",IF($E$3="2024",WHR_Comparison_2024_vs_2025!C9,WHR_Comparison_2024_vs_2025!J9),IF(WHR_Comparison_2024_vs_2025!A9=$B$3,IF($E$3="2024",WHR_Comparison_2024_vs_2025!C9,WHR_Comparison_2024_vs_2025!J9),NA())),NA())</f>
        <v>1.9702684879302901</v>
      </c>
      <c r="H93" s="2">
        <f>IFERROR(IF($B$3="All",IF($E$3="2024",WHR_Comparison_2024_vs_2025!B9,WHR_Comparison_2024_vs_2025!I9),IF(WHR_Comparison_2024_vs_2025!A9=$B$3,IF($E$3="2024",WHR_Comparison_2024_vs_2025!B9,WHR_Comparison_2024_vs_2025!I9),NA())),NA())</f>
        <v>7.0602002143859801</v>
      </c>
      <c r="I93" s="2">
        <f>IFERROR(IF($B$3="All",IF($E$3="2024",WHR_Comparison_2024_vs_2025!F9,WHR_Comparison_2024_vs_2025!M9),IF(WHR_Comparison_2024_vs_2025!A9=$B$3,IF($E$3="2024",WHR_Comparison_2024_vs_2025!F9,WHR_Comparison_2024_vs_2025!M9),NA())),NA())</f>
        <v>0.75915956497192305</v>
      </c>
      <c r="J93" s="33">
        <f>IFERROR(IF($B$3="All",IF($E$3="2024",WHR_Comparison_2024_vs_2025!B9,WHR_Comparison_2024_vs_2025!I9),IF(WHR_Comparison_2024_vs_2025!A9=$B$3,IF($E$3="2024",WHR_Comparison_2024_vs_2025!B9,WHR_Comparison_2024_vs_2025!I9),NA())),NA())</f>
        <v>7.0602002143859801</v>
      </c>
      <c r="L93" s="32" t="str">
        <f t="shared" si="0"/>
        <v>Mexico</v>
      </c>
      <c r="M93" s="33">
        <f t="shared" si="1"/>
        <v>0.34849999999999998</v>
      </c>
    </row>
    <row r="94" spans="1:40" x14ac:dyDescent="0.3">
      <c r="A94" s="32" t="str">
        <f>IF($B$3="All",WHR_Comparison_2024_vs_2025!A10,IF(WHR_Comparison_2024_vs_2025!A10=$B$3,WHR_Comparison_2024_vs_2025!A10,NA()))</f>
        <v>Luxembourg</v>
      </c>
      <c r="B94" s="2">
        <f>IFERROR(IF($B$3="All",WHR_Comparison_2024_vs_2025!B10,IF(WHR_Comparison_2024_vs_2025!A10=$B$3,WHR_Comparison_2024_vs_2025!B10,NA())),NA())</f>
        <v>7.2279000282287598</v>
      </c>
      <c r="C94" s="2">
        <f>IFERROR(IF($B$3="All",WHR_Comparison_2024_vs_2025!I10,IF(WHR_Comparison_2024_vs_2025!A10=$B$3,WHR_Comparison_2024_vs_2025!I10,NA())),NA())</f>
        <v>7.1219000816345197</v>
      </c>
      <c r="D94" s="2">
        <f>IFERROR(IF($B$3="All",WHR_Comparison_2024_vs_2025!P10,IF(WHR_Comparison_2024_vs_2025!A10=$B$3,WHR_Comparison_2024_vs_2025!P10,NA())),NA())</f>
        <v>-0.106</v>
      </c>
      <c r="E94" s="2" t="str">
        <f>INDEX(WHR_Comparison_2024_vs_2025!A$3:A$136,MATCH(F94,IF($E$3="2024",WHR_Comparison_2024_vs_2025!B$3:B$136,WHR_Comparison_2024_vs_2025!I$3:I$136),0))</f>
        <v>Switzerland</v>
      </c>
      <c r="F94" s="2">
        <f>LARGE(IF($E$3="2024",WHR_Comparison_2024_vs_2025!B$3:B$136,WHR_Comparison_2024_vs_2025!I$3:I$136),ROW(A8))</f>
        <v>7.0602002143859801</v>
      </c>
      <c r="G94" s="2">
        <f>IFERROR(IF($B$3="All",IF($E$3="2024",WHR_Comparison_2024_vs_2025!C10,WHR_Comparison_2024_vs_2025!J10),IF(WHR_Comparison_2024_vs_2025!A10=$B$3,IF($E$3="2024",WHR_Comparison_2024_vs_2025!C10,WHR_Comparison_2024_vs_2025!J10),NA())),NA())</f>
        <v>2.1405189037322998</v>
      </c>
      <c r="H94" s="2">
        <f>IFERROR(IF($B$3="All",IF($E$3="2024",WHR_Comparison_2024_vs_2025!B10,WHR_Comparison_2024_vs_2025!I10),IF(WHR_Comparison_2024_vs_2025!A10=$B$3,IF($E$3="2024",WHR_Comparison_2024_vs_2025!B10,WHR_Comparison_2024_vs_2025!I10),NA())),NA())</f>
        <v>7.1219000816345197</v>
      </c>
      <c r="I94" s="2">
        <f>IFERROR(IF($B$3="All",IF($E$3="2024",WHR_Comparison_2024_vs_2025!F10,WHR_Comparison_2024_vs_2025!M10),IF(WHR_Comparison_2024_vs_2025!A10=$B$3,IF($E$3="2024",WHR_Comparison_2024_vs_2025!F10,WHR_Comparison_2024_vs_2025!M10),NA())),NA())</f>
        <v>0.80121308565139704</v>
      </c>
      <c r="J94" s="33">
        <f>IFERROR(IF($B$3="All",IF($E$3="2024",WHR_Comparison_2024_vs_2025!B10,WHR_Comparison_2024_vs_2025!I10),IF(WHR_Comparison_2024_vs_2025!A10=$B$3,IF($E$3="2024",WHR_Comparison_2024_vs_2025!B10,WHR_Comparison_2024_vs_2025!I10),NA())),NA())</f>
        <v>7.1219000816345197</v>
      </c>
      <c r="L94" s="32" t="str">
        <f t="shared" si="0"/>
        <v>El Salvador</v>
      </c>
      <c r="M94" s="33">
        <f t="shared" si="1"/>
        <v>0.34710000000000002</v>
      </c>
    </row>
    <row r="95" spans="1:40" x14ac:dyDescent="0.3">
      <c r="A95" s="32" t="str">
        <f>IF($B$3="All",WHR_Comparison_2024_vs_2025!A11,IF(WHR_Comparison_2024_vs_2025!A11=$B$3,WHR_Comparison_2024_vs_2025!A11,NA()))</f>
        <v>New Zealand</v>
      </c>
      <c r="B95" s="2">
        <f>IFERROR(IF($B$3="All",WHR_Comparison_2024_vs_2025!B11,IF(WHR_Comparison_2024_vs_2025!A11=$B$3,WHR_Comparison_2024_vs_2025!B11,NA())),NA())</f>
        <v>7.1229000091552699</v>
      </c>
      <c r="C95" s="2">
        <f>IFERROR(IF($B$3="All",WHR_Comparison_2024_vs_2025!I11,IF(WHR_Comparison_2024_vs_2025!A11=$B$3,WHR_Comparison_2024_vs_2025!I11,NA())),NA())</f>
        <v>7.0292000770568803</v>
      </c>
      <c r="D95" s="2">
        <f>IFERROR(IF($B$3="All",WHR_Comparison_2024_vs_2025!P11,IF(WHR_Comparison_2024_vs_2025!A11=$B$3,WHR_Comparison_2024_vs_2025!P11,NA())),NA())</f>
        <v>-9.3700000000000006E-2</v>
      </c>
      <c r="E95" s="2" t="str">
        <f>INDEX(WHR_Comparison_2024_vs_2025!A$3:A$136,MATCH(F95,IF($E$3="2024",WHR_Comparison_2024_vs_2025!B$3:B$136,WHR_Comparison_2024_vs_2025!I$3:I$136),0))</f>
        <v>Australia</v>
      </c>
      <c r="F95" s="2">
        <f>LARGE(IF($E$3="2024",WHR_Comparison_2024_vs_2025!B$3:B$136,WHR_Comparison_2024_vs_2025!I$3:I$136),ROW(A9))</f>
        <v>7.0569000244140598</v>
      </c>
      <c r="G95" s="2">
        <f>IFERROR(IF($B$3="All",IF($E$3="2024",WHR_Comparison_2024_vs_2025!C11,WHR_Comparison_2024_vs_2025!J11),IF(WHR_Comparison_2024_vs_2025!A11=$B$3,IF($E$3="2024",WHR_Comparison_2024_vs_2025!C11,WHR_Comparison_2024_vs_2025!J11),NA())),NA())</f>
        <v>1.8103488683700499</v>
      </c>
      <c r="H95" s="2">
        <f>IFERROR(IF($B$3="All",IF($E$3="2024",WHR_Comparison_2024_vs_2025!B11,WHR_Comparison_2024_vs_2025!I11),IF(WHR_Comparison_2024_vs_2025!A11=$B$3,IF($E$3="2024",WHR_Comparison_2024_vs_2025!B11,WHR_Comparison_2024_vs_2025!I11),NA())),NA())</f>
        <v>7.0292000770568803</v>
      </c>
      <c r="I95" s="2">
        <f>IFERROR(IF($B$3="All",IF($E$3="2024",WHR_Comparison_2024_vs_2025!F11,WHR_Comparison_2024_vs_2025!M11),IF(WHR_Comparison_2024_vs_2025!A11=$B$3,IF($E$3="2024",WHR_Comparison_2024_vs_2025!F11,WHR_Comparison_2024_vs_2025!M11),NA())),NA())</f>
        <v>0.745547175407409</v>
      </c>
      <c r="J95" s="33">
        <f>IFERROR(IF($B$3="All",IF($E$3="2024",WHR_Comparison_2024_vs_2025!B11,WHR_Comparison_2024_vs_2025!I11),IF(WHR_Comparison_2024_vs_2025!A11=$B$3,IF($E$3="2024",WHR_Comparison_2024_vs_2025!B11,WHR_Comparison_2024_vs_2025!I11),NA())),NA())</f>
        <v>7.0292000770568803</v>
      </c>
      <c r="L95" s="32" t="str">
        <f t="shared" si="0"/>
        <v>Costa Rica</v>
      </c>
      <c r="M95" s="33">
        <f t="shared" si="1"/>
        <v>0.34689999999999999</v>
      </c>
    </row>
    <row r="96" spans="1:40" x14ac:dyDescent="0.3">
      <c r="A96" s="32" t="str">
        <f>IF($B$3="All",WHR_Comparison_2024_vs_2025!A12,IF(WHR_Comparison_2024_vs_2025!A12=$B$3,WHR_Comparison_2024_vs_2025!A12,NA()))</f>
        <v>Austria</v>
      </c>
      <c r="B96" s="2">
        <f>IFERROR(IF($B$3="All",WHR_Comparison_2024_vs_2025!B12,IF(WHR_Comparison_2024_vs_2025!A12=$B$3,WHR_Comparison_2024_vs_2025!B12,NA())),NA())</f>
        <v>7.0973000526428196</v>
      </c>
      <c r="C96" s="2">
        <f>IFERROR(IF($B$3="All",WHR_Comparison_2024_vs_2025!I12,IF(WHR_Comparison_2024_vs_2025!A12=$B$3,WHR_Comparison_2024_vs_2025!I12,NA())),NA())</f>
        <v>6.9046998023986799</v>
      </c>
      <c r="D96" s="2">
        <f>IFERROR(IF($B$3="All",WHR_Comparison_2024_vs_2025!P12,IF(WHR_Comparison_2024_vs_2025!A12=$B$3,WHR_Comparison_2024_vs_2025!P12,NA())),NA())</f>
        <v>-0.19259999999999999</v>
      </c>
      <c r="E96" s="2" t="str">
        <f>INDEX(WHR_Comparison_2024_vs_2025!A$3:A$136,MATCH(F96,IF($E$3="2024",WHR_Comparison_2024_vs_2025!B$3:B$136,WHR_Comparison_2024_vs_2025!I$3:I$136),0))</f>
        <v>New Zealand</v>
      </c>
      <c r="F96" s="2">
        <f>LARGE(IF($E$3="2024",WHR_Comparison_2024_vs_2025!B$3:B$136,WHR_Comparison_2024_vs_2025!I$3:I$136),ROW(A10))</f>
        <v>7.0292000770568803</v>
      </c>
      <c r="G96" s="2">
        <f>IFERROR(IF($B$3="All",IF($E$3="2024",WHR_Comparison_2024_vs_2025!C12,WHR_Comparison_2024_vs_2025!J12),IF(WHR_Comparison_2024_vs_2025!A12=$B$3,IF($E$3="2024",WHR_Comparison_2024_vs_2025!C12,WHR_Comparison_2024_vs_2025!J12),NA())),NA())</f>
        <v>1.88526535034179</v>
      </c>
      <c r="H96" s="2">
        <f>IFERROR(IF($B$3="All",IF($E$3="2024",WHR_Comparison_2024_vs_2025!B12,WHR_Comparison_2024_vs_2025!I12),IF(WHR_Comparison_2024_vs_2025!A12=$B$3,IF($E$3="2024",WHR_Comparison_2024_vs_2025!B12,WHR_Comparison_2024_vs_2025!I12),NA())),NA())</f>
        <v>6.9046998023986799</v>
      </c>
      <c r="I96" s="2">
        <f>IFERROR(IF($B$3="All",IF($E$3="2024",WHR_Comparison_2024_vs_2025!F12,WHR_Comparison_2024_vs_2025!M12),IF(WHR_Comparison_2024_vs_2025!A12=$B$3,IF($E$3="2024",WHR_Comparison_2024_vs_2025!F12,WHR_Comparison_2024_vs_2025!M12),NA())),NA())</f>
        <v>0.702744901180267</v>
      </c>
      <c r="J96" s="33">
        <f>IFERROR(IF($B$3="All",IF($E$3="2024",WHR_Comparison_2024_vs_2025!B12,WHR_Comparison_2024_vs_2025!I12),IF(WHR_Comparison_2024_vs_2025!A12=$B$3,IF($E$3="2024",WHR_Comparison_2024_vs_2025!B12,WHR_Comparison_2024_vs_2025!I12),NA())),NA())</f>
        <v>6.9046998023986799</v>
      </c>
      <c r="L96" s="32" t="str">
        <f t="shared" si="0"/>
        <v>Ghana</v>
      </c>
      <c r="M96" s="33">
        <f t="shared" si="1"/>
        <v>-0.31559999999999999</v>
      </c>
    </row>
    <row r="97" spans="1:13" x14ac:dyDescent="0.3">
      <c r="A97" s="32" t="str">
        <f>IF($B$3="All",WHR_Comparison_2024_vs_2025!A13,IF(WHR_Comparison_2024_vs_2025!A13=$B$3,WHR_Comparison_2024_vs_2025!A13,NA()))</f>
        <v>Australia</v>
      </c>
      <c r="B97" s="2">
        <f>IFERROR(IF($B$3="All",WHR_Comparison_2024_vs_2025!B13,IF(WHR_Comparison_2024_vs_2025!A13=$B$3,WHR_Comparison_2024_vs_2025!B13,NA())),NA())</f>
        <v>7.09460020065307</v>
      </c>
      <c r="C97" s="2">
        <f>IFERROR(IF($B$3="All",WHR_Comparison_2024_vs_2025!I13,IF(WHR_Comparison_2024_vs_2025!A13=$B$3,WHR_Comparison_2024_vs_2025!I13,NA())),NA())</f>
        <v>7.0569000244140598</v>
      </c>
      <c r="D97" s="2">
        <f>IFERROR(IF($B$3="All",WHR_Comparison_2024_vs_2025!P13,IF(WHR_Comparison_2024_vs_2025!A13=$B$3,WHR_Comparison_2024_vs_2025!P13,NA())),NA())</f>
        <v>-3.7699999999999997E-2</v>
      </c>
      <c r="E97" s="2"/>
      <c r="F97" s="2"/>
      <c r="G97" s="2">
        <f>IFERROR(IF($B$3="All",IF($E$3="2024",WHR_Comparison_2024_vs_2025!C13,WHR_Comparison_2024_vs_2025!J13),IF(WHR_Comparison_2024_vs_2025!A13=$B$3,IF($E$3="2024",WHR_Comparison_2024_vs_2025!C13,WHR_Comparison_2024_vs_2025!J13),NA())),NA())</f>
        <v>1.85425841808319</v>
      </c>
      <c r="H97" s="2">
        <f>IFERROR(IF($B$3="All",IF($E$3="2024",WHR_Comparison_2024_vs_2025!B13,WHR_Comparison_2024_vs_2025!I13),IF(WHR_Comparison_2024_vs_2025!A13=$B$3,IF($E$3="2024",WHR_Comparison_2024_vs_2025!B13,WHR_Comparison_2024_vs_2025!I13),NA())),NA())</f>
        <v>7.0569000244140598</v>
      </c>
      <c r="I97" s="2">
        <f>IFERROR(IF($B$3="All",IF($E$3="2024",WHR_Comparison_2024_vs_2025!F13,WHR_Comparison_2024_vs_2025!M13),IF(WHR_Comparison_2024_vs_2025!A13=$B$3,IF($E$3="2024",WHR_Comparison_2024_vs_2025!F13,WHR_Comparison_2024_vs_2025!M13),NA())),NA())</f>
        <v>0.75627064704894997</v>
      </c>
      <c r="J97" s="33">
        <f>IFERROR(IF($B$3="All",IF($E$3="2024",WHR_Comparison_2024_vs_2025!B13,WHR_Comparison_2024_vs_2025!I13),IF(WHR_Comparison_2024_vs_2025!A13=$B$3,IF($E$3="2024",WHR_Comparison_2024_vs_2025!B13,WHR_Comparison_2024_vs_2025!I13),NA())),NA())</f>
        <v>7.0569000244140598</v>
      </c>
      <c r="L97" s="32" t="str">
        <f t="shared" si="0"/>
        <v>Peru</v>
      </c>
      <c r="M97" s="33">
        <f t="shared" si="1"/>
        <v>0.315</v>
      </c>
    </row>
    <row r="98" spans="1:13" x14ac:dyDescent="0.3">
      <c r="A98" s="32" t="str">
        <f>IF($B$3="All",WHR_Comparison_2024_vs_2025!A14,IF(WHR_Comparison_2024_vs_2025!A14=$B$3,WHR_Comparison_2024_vs_2025!A14,NA()))</f>
        <v>Canada</v>
      </c>
      <c r="B98" s="2">
        <f>IFERROR(IF($B$3="All",WHR_Comparison_2024_vs_2025!B14,IF(WHR_Comparison_2024_vs_2025!A14=$B$3,WHR_Comparison_2024_vs_2025!B14,NA())),NA())</f>
        <v>6.9607000350952104</v>
      </c>
      <c r="C98" s="2">
        <f>IFERROR(IF($B$3="All",WHR_Comparison_2024_vs_2025!I14,IF(WHR_Comparison_2024_vs_2025!A14=$B$3,WHR_Comparison_2024_vs_2025!I14,NA())),NA())</f>
        <v>6.8996000289916903</v>
      </c>
      <c r="D98" s="2">
        <f>IFERROR(IF($B$3="All",WHR_Comparison_2024_vs_2025!P14,IF(WHR_Comparison_2024_vs_2025!A14=$B$3,WHR_Comparison_2024_vs_2025!P14,NA())),NA())</f>
        <v>-6.1100000000000002E-2</v>
      </c>
      <c r="E98" s="2"/>
      <c r="F98" s="2"/>
      <c r="G98" s="2">
        <f>IFERROR(IF($B$3="All",IF($E$3="2024",WHR_Comparison_2024_vs_2025!C14,WHR_Comparison_2024_vs_2025!J14),IF(WHR_Comparison_2024_vs_2025!A14=$B$3,IF($E$3="2024",WHR_Comparison_2024_vs_2025!C14,WHR_Comparison_2024_vs_2025!J14),NA())),NA())</f>
        <v>1.83972072601318</v>
      </c>
      <c r="H98" s="2">
        <f>IFERROR(IF($B$3="All",IF($E$3="2024",WHR_Comparison_2024_vs_2025!B14,WHR_Comparison_2024_vs_2025!I14),IF(WHR_Comparison_2024_vs_2025!A14=$B$3,IF($E$3="2024",WHR_Comparison_2024_vs_2025!B14,WHR_Comparison_2024_vs_2025!I14),NA())),NA())</f>
        <v>6.8996000289916903</v>
      </c>
      <c r="I98" s="2">
        <f>IFERROR(IF($B$3="All",IF($E$3="2024",WHR_Comparison_2024_vs_2025!F14,WHR_Comparison_2024_vs_2025!M14),IF(WHR_Comparison_2024_vs_2025!A14=$B$3,IF($E$3="2024",WHR_Comparison_2024_vs_2025!F14,WHR_Comparison_2024_vs_2025!M14),NA())),NA())</f>
        <v>0.73007637262344305</v>
      </c>
      <c r="J98" s="33">
        <f>IFERROR(IF($B$3="All",IF($E$3="2024",WHR_Comparison_2024_vs_2025!B14,WHR_Comparison_2024_vs_2025!I14),IF(WHR_Comparison_2024_vs_2025!A14=$B$3,IF($E$3="2024",WHR_Comparison_2024_vs_2025!B14,WHR_Comparison_2024_vs_2025!I14),NA())),NA())</f>
        <v>6.8996000289916903</v>
      </c>
      <c r="L98" s="32" t="str">
        <f t="shared" si="0"/>
        <v>Lebanon</v>
      </c>
      <c r="M98" s="33">
        <f t="shared" si="1"/>
        <v>0.31430000000000002</v>
      </c>
    </row>
    <row r="99" spans="1:13" x14ac:dyDescent="0.3">
      <c r="A99" s="32" t="str">
        <f>IF($B$3="All",WHR_Comparison_2024_vs_2025!A15,IF(WHR_Comparison_2024_vs_2025!A15=$B$3,WHR_Comparison_2024_vs_2025!A15,NA()))</f>
        <v>Ireland</v>
      </c>
      <c r="B99" s="2">
        <f>IFERROR(IF($B$3="All",WHR_Comparison_2024_vs_2025!B15,IF(WHR_Comparison_2024_vs_2025!A15=$B$3,WHR_Comparison_2024_vs_2025!B15,NA())),NA())</f>
        <v>6.9107999801635698</v>
      </c>
      <c r="C99" s="2">
        <f>IFERROR(IF($B$3="All",WHR_Comparison_2024_vs_2025!I15,IF(WHR_Comparison_2024_vs_2025!A15=$B$3,WHR_Comparison_2024_vs_2025!I15,NA())),NA())</f>
        <v>6.8379998207092196</v>
      </c>
      <c r="D99" s="2">
        <f>IFERROR(IF($B$3="All",WHR_Comparison_2024_vs_2025!P15,IF(WHR_Comparison_2024_vs_2025!A15=$B$3,WHR_Comparison_2024_vs_2025!P15,NA())),NA())</f>
        <v>-7.2800000000000004E-2</v>
      </c>
      <c r="E99" s="2"/>
      <c r="F99" s="2"/>
      <c r="G99" s="2">
        <f>IFERROR(IF($B$3="All",IF($E$3="2024",WHR_Comparison_2024_vs_2025!C15,WHR_Comparison_2024_vs_2025!J15),IF(WHR_Comparison_2024_vs_2025!A15=$B$3,IF($E$3="2024",WHR_Comparison_2024_vs_2025!C15,WHR_Comparison_2024_vs_2025!J15),NA())),NA())</f>
        <v>2.1288285255432098</v>
      </c>
      <c r="H99" s="2">
        <f>IFERROR(IF($B$3="All",IF($E$3="2024",WHR_Comparison_2024_vs_2025!B15,WHR_Comparison_2024_vs_2025!I15),IF(WHR_Comparison_2024_vs_2025!A15=$B$3,IF($E$3="2024",WHR_Comparison_2024_vs_2025!B15,WHR_Comparison_2024_vs_2025!I15),NA())),NA())</f>
        <v>6.8379998207092196</v>
      </c>
      <c r="I99" s="2">
        <f>IFERROR(IF($B$3="All",IF($E$3="2024",WHR_Comparison_2024_vs_2025!F15,WHR_Comparison_2024_vs_2025!M15),IF(WHR_Comparison_2024_vs_2025!A15=$B$3,IF($E$3="2024",WHR_Comparison_2024_vs_2025!F15,WHR_Comparison_2024_vs_2025!M15),NA())),NA())</f>
        <v>0.75762069225311202</v>
      </c>
      <c r="J99" s="33">
        <f>IFERROR(IF($B$3="All",IF($E$3="2024",WHR_Comparison_2024_vs_2025!B15,WHR_Comparison_2024_vs_2025!I15),IF(WHR_Comparison_2024_vs_2025!A15=$B$3,IF($E$3="2024",WHR_Comparison_2024_vs_2025!B15,WHR_Comparison_2024_vs_2025!I15),NA())),NA())</f>
        <v>6.8379998207092196</v>
      </c>
      <c r="L99" s="32" t="str">
        <f t="shared" si="0"/>
        <v>Indonesia</v>
      </c>
      <c r="M99" s="33">
        <f t="shared" si="1"/>
        <v>0.29139999999999999</v>
      </c>
    </row>
    <row r="100" spans="1:13" x14ac:dyDescent="0.3">
      <c r="A100" s="32" t="str">
        <f>IF($B$3="All",WHR_Comparison_2024_vs_2025!A16,IF(WHR_Comparison_2024_vs_2025!A16=$B$3,WHR_Comparison_2024_vs_2025!A16,NA()))</f>
        <v>United States</v>
      </c>
      <c r="B100" s="2">
        <f>IFERROR(IF($B$3="All",WHR_Comparison_2024_vs_2025!B16,IF(WHR_Comparison_2024_vs_2025!A16=$B$3,WHR_Comparison_2024_vs_2025!B16,NA())),NA())</f>
        <v>6.8937001228332502</v>
      </c>
      <c r="C100" s="2">
        <f>IFERROR(IF($B$3="All",WHR_Comparison_2024_vs_2025!I16,IF(WHR_Comparison_2024_vs_2025!A16=$B$3,WHR_Comparison_2024_vs_2025!I16,NA())),NA())</f>
        <v>6.7248001098632804</v>
      </c>
      <c r="D100" s="2">
        <f>IFERROR(IF($B$3="All",WHR_Comparison_2024_vs_2025!P16,IF(WHR_Comparison_2024_vs_2025!A16=$B$3,WHR_Comparison_2024_vs_2025!P16,NA())),NA())</f>
        <v>-0.16889999999999999</v>
      </c>
      <c r="E100" s="2"/>
      <c r="F100" s="2"/>
      <c r="G100" s="2">
        <f>IFERROR(IF($B$3="All",IF($E$3="2024",WHR_Comparison_2024_vs_2025!C16,WHR_Comparison_2024_vs_2025!J16),IF(WHR_Comparison_2024_vs_2025!A16=$B$3,IF($E$3="2024",WHR_Comparison_2024_vs_2025!C16,WHR_Comparison_2024_vs_2025!J16),NA())),NA())</f>
        <v>1.9388630390167201</v>
      </c>
      <c r="H100" s="2">
        <f>IFERROR(IF($B$3="All",IF($E$3="2024",WHR_Comparison_2024_vs_2025!B16,WHR_Comparison_2024_vs_2025!I16),IF(WHR_Comparison_2024_vs_2025!A16=$B$3,IF($E$3="2024",WHR_Comparison_2024_vs_2025!B16,WHR_Comparison_2024_vs_2025!I16),NA())),NA())</f>
        <v>6.7248001098632804</v>
      </c>
      <c r="I100" s="2">
        <f>IFERROR(IF($B$3="All",IF($E$3="2024",WHR_Comparison_2024_vs_2025!F16,WHR_Comparison_2024_vs_2025!M16),IF(WHR_Comparison_2024_vs_2025!A16=$B$3,IF($E$3="2024",WHR_Comparison_2024_vs_2025!F16,WHR_Comparison_2024_vs_2025!M16),NA())),NA())</f>
        <v>0.58635401725768999</v>
      </c>
      <c r="J100" s="33">
        <f>IFERROR(IF($B$3="All",IF($E$3="2024",WHR_Comparison_2024_vs_2025!B16,WHR_Comparison_2024_vs_2025!I16),IF(WHR_Comparison_2024_vs_2025!A16=$B$3,IF($E$3="2024",WHR_Comparison_2024_vs_2025!B16,WHR_Comparison_2024_vs_2025!I16),NA())),NA())</f>
        <v>6.7248001098632804</v>
      </c>
      <c r="L100" s="32" t="str">
        <f t="shared" si="0"/>
        <v>Vietnam</v>
      </c>
      <c r="M100" s="33">
        <f t="shared" si="1"/>
        <v>0.2797</v>
      </c>
    </row>
    <row r="101" spans="1:13" x14ac:dyDescent="0.3">
      <c r="A101" s="32" t="str">
        <f>IF($B$3="All",WHR_Comparison_2024_vs_2025!A17,IF(WHR_Comparison_2024_vs_2025!A17=$B$3,WHR_Comparison_2024_vs_2025!A17,NA()))</f>
        <v>Germany</v>
      </c>
      <c r="B101" s="2">
        <f>IFERROR(IF($B$3="All",WHR_Comparison_2024_vs_2025!B17,IF(WHR_Comparison_2024_vs_2025!A17=$B$3,WHR_Comparison_2024_vs_2025!B17,NA())),NA())</f>
        <v>6.8917999267578098</v>
      </c>
      <c r="C101" s="2">
        <f>IFERROR(IF($B$3="All",WHR_Comparison_2024_vs_2025!I17,IF(WHR_Comparison_2024_vs_2025!A17=$B$3,WHR_Comparison_2024_vs_2025!I17,NA())),NA())</f>
        <v>6.7185001373290998</v>
      </c>
      <c r="D101" s="2">
        <f>IFERROR(IF($B$3="All",WHR_Comparison_2024_vs_2025!P17,IF(WHR_Comparison_2024_vs_2025!A17=$B$3,WHR_Comparison_2024_vs_2025!P17,NA())),NA())</f>
        <v>-0.17330000000000001</v>
      </c>
      <c r="E101" s="2"/>
      <c r="F101" s="2"/>
      <c r="G101" s="2">
        <f>IFERROR(IF($B$3="All",IF($E$3="2024",WHR_Comparison_2024_vs_2025!C17,WHR_Comparison_2024_vs_2025!J17),IF(WHR_Comparison_2024_vs_2025!A17=$B$3,IF($E$3="2024",WHR_Comparison_2024_vs_2025!C17,WHR_Comparison_2024_vs_2025!J17),NA())),NA())</f>
        <v>1.87133240699768</v>
      </c>
      <c r="H101" s="2">
        <f>IFERROR(IF($B$3="All",IF($E$3="2024",WHR_Comparison_2024_vs_2025!B17,WHR_Comparison_2024_vs_2025!I17),IF(WHR_Comparison_2024_vs_2025!A17=$B$3,IF($E$3="2024",WHR_Comparison_2024_vs_2025!B17,WHR_Comparison_2024_vs_2025!I17),NA())),NA())</f>
        <v>6.7185001373290998</v>
      </c>
      <c r="I101" s="2">
        <f>IFERROR(IF($B$3="All",IF($E$3="2024",WHR_Comparison_2024_vs_2025!F17,WHR_Comparison_2024_vs_2025!M17),IF(WHR_Comparison_2024_vs_2025!A17=$B$3,IF($E$3="2024",WHR_Comparison_2024_vs_2025!F17,WHR_Comparison_2024_vs_2025!M17),NA())),NA())</f>
        <v>0.69984734058380105</v>
      </c>
      <c r="J101" s="33">
        <f>IFERROR(IF($B$3="All",IF($E$3="2024",WHR_Comparison_2024_vs_2025!B17,WHR_Comparison_2024_vs_2025!I17),IF(WHR_Comparison_2024_vs_2025!A17=$B$3,IF($E$3="2024",WHR_Comparison_2024_vs_2025!B17,WHR_Comparison_2024_vs_2025!I17),NA())),NA())</f>
        <v>6.7185001373290998</v>
      </c>
      <c r="L101" s="32" t="str">
        <f t="shared" si="0"/>
        <v>Serbia</v>
      </c>
      <c r="M101" s="33">
        <f t="shared" si="1"/>
        <v>0.26719999999999999</v>
      </c>
    </row>
    <row r="102" spans="1:13" x14ac:dyDescent="0.3">
      <c r="A102" s="32" t="str">
        <f>IF($B$3="All",WHR_Comparison_2024_vs_2025!A18,IF(WHR_Comparison_2024_vs_2025!A18=$B$3,WHR_Comparison_2024_vs_2025!A18,NA()))</f>
        <v>Belgium</v>
      </c>
      <c r="B102" s="2">
        <f>IFERROR(IF($B$3="All",WHR_Comparison_2024_vs_2025!B18,IF(WHR_Comparison_2024_vs_2025!A18=$B$3,WHR_Comparison_2024_vs_2025!B18,NA())),NA())</f>
        <v>6.8590998649597097</v>
      </c>
      <c r="C102" s="2">
        <f>IFERROR(IF($B$3="All",WHR_Comparison_2024_vs_2025!I18,IF(WHR_Comparison_2024_vs_2025!A18=$B$3,WHR_Comparison_2024_vs_2025!I18,NA())),NA())</f>
        <v>6.8941998481750399</v>
      </c>
      <c r="D102" s="2">
        <f>IFERROR(IF($B$3="All",WHR_Comparison_2024_vs_2025!P18,IF(WHR_Comparison_2024_vs_2025!A18=$B$3,WHR_Comparison_2024_vs_2025!P18,NA())),NA())</f>
        <v>3.5099999999999999E-2</v>
      </c>
      <c r="E102" s="2"/>
      <c r="F102" s="2"/>
      <c r="G102" s="2">
        <f>IFERROR(IF($B$3="All",IF($E$3="2024",WHR_Comparison_2024_vs_2025!C18,WHR_Comparison_2024_vs_2025!J18),IF(WHR_Comparison_2024_vs_2025!A18=$B$3,IF($E$3="2024",WHR_Comparison_2024_vs_2025!C18,WHR_Comparison_2024_vs_2025!J18),NA())),NA())</f>
        <v>1.86804103851318</v>
      </c>
      <c r="H102" s="2">
        <f>IFERROR(IF($B$3="All",IF($E$3="2024",WHR_Comparison_2024_vs_2025!B18,WHR_Comparison_2024_vs_2025!I18),IF(WHR_Comparison_2024_vs_2025!A18=$B$3,IF($E$3="2024",WHR_Comparison_2024_vs_2025!B18,WHR_Comparison_2024_vs_2025!I18),NA())),NA())</f>
        <v>6.8941998481750399</v>
      </c>
      <c r="I102" s="2">
        <f>IFERROR(IF($B$3="All",IF($E$3="2024",WHR_Comparison_2024_vs_2025!F18,WHR_Comparison_2024_vs_2025!M18),IF(WHR_Comparison_2024_vs_2025!A18=$B$3,IF($E$3="2024",WHR_Comparison_2024_vs_2025!F18,WHR_Comparison_2024_vs_2025!M18),NA())),NA())</f>
        <v>0.72876101732253995</v>
      </c>
      <c r="J102" s="33">
        <f>IFERROR(IF($B$3="All",IF($E$3="2024",WHR_Comparison_2024_vs_2025!B18,WHR_Comparison_2024_vs_2025!I18),IF(WHR_Comparison_2024_vs_2025!A18=$B$3,IF($E$3="2024",WHR_Comparison_2024_vs_2025!B18,WHR_Comparison_2024_vs_2025!I18),NA())),NA())</f>
        <v>6.8941998481750399</v>
      </c>
      <c r="L102" s="32" t="str">
        <f t="shared" si="0"/>
        <v>Mozambique</v>
      </c>
      <c r="M102" s="33">
        <f t="shared" si="1"/>
        <v>0.26240000000000002</v>
      </c>
    </row>
    <row r="103" spans="1:13" x14ac:dyDescent="0.3">
      <c r="A103" s="32" t="str">
        <f>IF($B$3="All",WHR_Comparison_2024_vs_2025!A19,IF(WHR_Comparison_2024_vs_2025!A19=$B$3,WHR_Comparison_2024_vs_2025!A19,NA()))</f>
        <v>Czechia</v>
      </c>
      <c r="B103" s="2">
        <f>IFERROR(IF($B$3="All",WHR_Comparison_2024_vs_2025!B19,IF(WHR_Comparison_2024_vs_2025!A19=$B$3,WHR_Comparison_2024_vs_2025!B19,NA())),NA())</f>
        <v>6.8452000617980904</v>
      </c>
      <c r="C103" s="2">
        <f>IFERROR(IF($B$3="All",WHR_Comparison_2024_vs_2025!I19,IF(WHR_Comparison_2024_vs_2025!A19=$B$3,WHR_Comparison_2024_vs_2025!I19,NA())),NA())</f>
        <v>6.8218002319335902</v>
      </c>
      <c r="D103" s="2">
        <f>IFERROR(IF($B$3="All",WHR_Comparison_2024_vs_2025!P19,IF(WHR_Comparison_2024_vs_2025!A19=$B$3,WHR_Comparison_2024_vs_2025!P19,NA())),NA())</f>
        <v>-2.3400000000000001E-2</v>
      </c>
      <c r="E103" s="2"/>
      <c r="F103" s="2"/>
      <c r="G103" s="2">
        <f>IFERROR(IF($B$3="All",IF($E$3="2024",WHR_Comparison_2024_vs_2025!C19,WHR_Comparison_2024_vs_2025!J19),IF(WHR_Comparison_2024_vs_2025!A19=$B$3,IF($E$3="2024",WHR_Comparison_2024_vs_2025!C19,WHR_Comparison_2024_vs_2025!J19),NA())),NA())</f>
        <v>1.78319144248962</v>
      </c>
      <c r="H103" s="2">
        <f>IFERROR(IF($B$3="All",IF($E$3="2024",WHR_Comparison_2024_vs_2025!B19,WHR_Comparison_2024_vs_2025!I19),IF(WHR_Comparison_2024_vs_2025!A19=$B$3,IF($E$3="2024",WHR_Comparison_2024_vs_2025!B19,WHR_Comparison_2024_vs_2025!I19),NA())),NA())</f>
        <v>6.8218002319335902</v>
      </c>
      <c r="I103" s="2">
        <f>IFERROR(IF($B$3="All",IF($E$3="2024",WHR_Comparison_2024_vs_2025!F19,WHR_Comparison_2024_vs_2025!M19),IF(WHR_Comparison_2024_vs_2025!A19=$B$3,IF($E$3="2024",WHR_Comparison_2024_vs_2025!F19,WHR_Comparison_2024_vs_2025!M19),NA())),NA())</f>
        <v>0.78650104999542203</v>
      </c>
      <c r="J103" s="33">
        <f>IFERROR(IF($B$3="All",IF($E$3="2024",WHR_Comparison_2024_vs_2025!B19,WHR_Comparison_2024_vs_2025!I19),IF(WHR_Comparison_2024_vs_2025!A19=$B$3,IF($E$3="2024",WHR_Comparison_2024_vs_2025!B19,WHR_Comparison_2024_vs_2025!I19),NA())),NA())</f>
        <v>6.8218002319335902</v>
      </c>
      <c r="L103" s="32" t="str">
        <f t="shared" si="0"/>
        <v>Dominican Republic</v>
      </c>
      <c r="M103" s="33">
        <f t="shared" si="1"/>
        <v>0.25390000000000001</v>
      </c>
    </row>
    <row r="104" spans="1:13" x14ac:dyDescent="0.3">
      <c r="A104" s="32" t="str">
        <f>IF($B$3="All",WHR_Comparison_2024_vs_2025!A20,IF(WHR_Comparison_2024_vs_2025!A20=$B$3,WHR_Comparison_2024_vs_2025!A20,NA()))</f>
        <v>United Kingdom</v>
      </c>
      <c r="B104" s="2">
        <f>IFERROR(IF($B$3="All",WHR_Comparison_2024_vs_2025!B20,IF(WHR_Comparison_2024_vs_2025!A20=$B$3,WHR_Comparison_2024_vs_2025!B20,NA())),NA())</f>
        <v>6.7955999374389604</v>
      </c>
      <c r="C104" s="2">
        <f>IFERROR(IF($B$3="All",WHR_Comparison_2024_vs_2025!I20,IF(WHR_Comparison_2024_vs_2025!A20=$B$3,WHR_Comparison_2024_vs_2025!I20,NA())),NA())</f>
        <v>6.7490000724792401</v>
      </c>
      <c r="D104" s="2">
        <f>IFERROR(IF($B$3="All",WHR_Comparison_2024_vs_2025!P20,IF(WHR_Comparison_2024_vs_2025!A20=$B$3,WHR_Comparison_2024_vs_2025!P20,NA())),NA())</f>
        <v>-4.6600000000000003E-2</v>
      </c>
      <c r="E104" s="2"/>
      <c r="F104" s="2"/>
      <c r="G104" s="2">
        <f>IFERROR(IF($B$3="All",IF($E$3="2024",WHR_Comparison_2024_vs_2025!C20,WHR_Comparison_2024_vs_2025!J20),IF(WHR_Comparison_2024_vs_2025!A20=$B$3,IF($E$3="2024",WHR_Comparison_2024_vs_2025!C20,WHR_Comparison_2024_vs_2025!J20),NA())),NA())</f>
        <v>1.82221543788909</v>
      </c>
      <c r="H104" s="2">
        <f>IFERROR(IF($B$3="All",IF($E$3="2024",WHR_Comparison_2024_vs_2025!B20,WHR_Comparison_2024_vs_2025!I20),IF(WHR_Comparison_2024_vs_2025!A20=$B$3,IF($E$3="2024",WHR_Comparison_2024_vs_2025!B20,WHR_Comparison_2024_vs_2025!I20),NA())),NA())</f>
        <v>6.7490000724792401</v>
      </c>
      <c r="I104" s="2">
        <f>IFERROR(IF($B$3="All",IF($E$3="2024",WHR_Comparison_2024_vs_2025!F20,WHR_Comparison_2024_vs_2025!M20),IF(WHR_Comparison_2024_vs_2025!A20=$B$3,IF($E$3="2024",WHR_Comparison_2024_vs_2025!F20,WHR_Comparison_2024_vs_2025!M20),NA())),NA())</f>
        <v>0.71310406923294001</v>
      </c>
      <c r="J104" s="33">
        <f>IFERROR(IF($B$3="All",IF($E$3="2024",WHR_Comparison_2024_vs_2025!B20,WHR_Comparison_2024_vs_2025!I20),IF(WHR_Comparison_2024_vs_2025!A20=$B$3,IF($E$3="2024",WHR_Comparison_2024_vs_2025!B20,WHR_Comparison_2024_vs_2025!I20),NA())),NA())</f>
        <v>6.7490000724792401</v>
      </c>
      <c r="L104" s="32" t="str">
        <f t="shared" si="0"/>
        <v>Bosnia and Herzegovina</v>
      </c>
      <c r="M104" s="33">
        <f t="shared" si="1"/>
        <v>0.2445</v>
      </c>
    </row>
    <row r="105" spans="1:13" x14ac:dyDescent="0.3">
      <c r="A105" s="32" t="str">
        <f>IF($B$3="All",WHR_Comparison_2024_vs_2025!A21,IF(WHR_Comparison_2024_vs_2025!A21=$B$3,WHR_Comparison_2024_vs_2025!A21,NA()))</f>
        <v>Lithuania</v>
      </c>
      <c r="B105" s="2">
        <f>IFERROR(IF($B$3="All",WHR_Comparison_2024_vs_2025!B21,IF(WHR_Comparison_2024_vs_2025!A21=$B$3,WHR_Comparison_2024_vs_2025!B21,NA())),NA())</f>
        <v>6.76300001144409</v>
      </c>
      <c r="C105" s="2">
        <f>IFERROR(IF($B$3="All",WHR_Comparison_2024_vs_2025!I21,IF(WHR_Comparison_2024_vs_2025!A21=$B$3,WHR_Comparison_2024_vs_2025!I21,NA())),NA())</f>
        <v>6.81750011444091</v>
      </c>
      <c r="D105" s="2">
        <f>IFERROR(IF($B$3="All",WHR_Comparison_2024_vs_2025!P21,IF(WHR_Comparison_2024_vs_2025!A21=$B$3,WHR_Comparison_2024_vs_2025!P21,NA())),NA())</f>
        <v>5.45E-2</v>
      </c>
      <c r="E105" s="2"/>
      <c r="F105" s="2"/>
      <c r="G105" s="2">
        <f>IFERROR(IF($B$3="All",IF($E$3="2024",WHR_Comparison_2024_vs_2025!C21,WHR_Comparison_2024_vs_2025!J21),IF(WHR_Comparison_2024_vs_2025!A21=$B$3,IF($E$3="2024",WHR_Comparison_2024_vs_2025!C21,WHR_Comparison_2024_vs_2025!J21),NA())),NA())</f>
        <v>1.7656822204589799</v>
      </c>
      <c r="H105" s="2">
        <f>IFERROR(IF($B$3="All",IF($E$3="2024",WHR_Comparison_2024_vs_2025!B21,WHR_Comparison_2024_vs_2025!I21),IF(WHR_Comparison_2024_vs_2025!A21=$B$3,IF($E$3="2024",WHR_Comparison_2024_vs_2025!B21,WHR_Comparison_2024_vs_2025!I21),NA())),NA())</f>
        <v>6.81750011444091</v>
      </c>
      <c r="I105" s="2">
        <f>IFERROR(IF($B$3="All",IF($E$3="2024",WHR_Comparison_2024_vs_2025!F21,WHR_Comparison_2024_vs_2025!M21),IF(WHR_Comparison_2024_vs_2025!A21=$B$3,IF($E$3="2024",WHR_Comparison_2024_vs_2025!F21,WHR_Comparison_2024_vs_2025!M21),NA())),NA())</f>
        <v>0.53268539905548096</v>
      </c>
      <c r="J105" s="33">
        <f>IFERROR(IF($B$3="All",IF($E$3="2024",WHR_Comparison_2024_vs_2025!B21,WHR_Comparison_2024_vs_2025!I21),IF(WHR_Comparison_2024_vs_2025!A21=$B$3,IF($E$3="2024",WHR_Comparison_2024_vs_2025!B21,WHR_Comparison_2024_vs_2025!I21),NA())),NA())</f>
        <v>6.81750011444091</v>
      </c>
      <c r="L105" s="32" t="str">
        <f t="shared" si="0"/>
        <v>Paraguay</v>
      </c>
      <c r="M105" s="33">
        <f t="shared" si="1"/>
        <v>0.2387</v>
      </c>
    </row>
    <row r="106" spans="1:13" x14ac:dyDescent="0.3">
      <c r="A106" s="32" t="str">
        <f>IF($B$3="All",WHR_Comparison_2024_vs_2025!A22,IF(WHR_Comparison_2024_vs_2025!A22=$B$3,WHR_Comparison_2024_vs_2025!A22,NA()))</f>
        <v>France</v>
      </c>
      <c r="B106" s="2">
        <f>IFERROR(IF($B$3="All",WHR_Comparison_2024_vs_2025!B22,IF(WHR_Comparison_2024_vs_2025!A22=$B$3,WHR_Comparison_2024_vs_2025!B22,NA())),NA())</f>
        <v>6.6613001823425204</v>
      </c>
      <c r="C106" s="2">
        <f>IFERROR(IF($B$3="All",WHR_Comparison_2024_vs_2025!I22,IF(WHR_Comparison_2024_vs_2025!A22=$B$3,WHR_Comparison_2024_vs_2025!I22,NA())),NA())</f>
        <v>6.6090002059936497</v>
      </c>
      <c r="D106" s="2">
        <f>IFERROR(IF($B$3="All",WHR_Comparison_2024_vs_2025!P22,IF(WHR_Comparison_2024_vs_2025!A22=$B$3,WHR_Comparison_2024_vs_2025!P22,NA())),NA())</f>
        <v>-5.2299999999999999E-2</v>
      </c>
      <c r="E106" s="2"/>
      <c r="F106" s="2"/>
      <c r="G106" s="2">
        <f>IFERROR(IF($B$3="All",IF($E$3="2024",WHR_Comparison_2024_vs_2025!C22,WHR_Comparison_2024_vs_2025!J22),IF(WHR_Comparison_2024_vs_2025!A22=$B$3,IF($E$3="2024",WHR_Comparison_2024_vs_2025!C22,WHR_Comparison_2024_vs_2025!J22),NA())),NA())</f>
        <v>1.81834292411804</v>
      </c>
      <c r="H106" s="2">
        <f>IFERROR(IF($B$3="All",IF($E$3="2024",WHR_Comparison_2024_vs_2025!B22,WHR_Comparison_2024_vs_2025!I22),IF(WHR_Comparison_2024_vs_2025!A22=$B$3,IF($E$3="2024",WHR_Comparison_2024_vs_2025!B22,WHR_Comparison_2024_vs_2025!I22),NA())),NA())</f>
        <v>6.6090002059936497</v>
      </c>
      <c r="I106" s="2">
        <f>IFERROR(IF($B$3="All",IF($E$3="2024",WHR_Comparison_2024_vs_2025!F22,WHR_Comparison_2024_vs_2025!M22),IF(WHR_Comparison_2024_vs_2025!A22=$B$3,IF($E$3="2024",WHR_Comparison_2024_vs_2025!F22,WHR_Comparison_2024_vs_2025!M22),NA())),NA())</f>
        <v>0.64982038736343295</v>
      </c>
      <c r="J106" s="33">
        <f>IFERROR(IF($B$3="All",IF($E$3="2024",WHR_Comparison_2024_vs_2025!B22,WHR_Comparison_2024_vs_2025!I22),IF(WHR_Comparison_2024_vs_2025!A22=$B$3,IF($E$3="2024",WHR_Comparison_2024_vs_2025!B22,WHR_Comparison_2024_vs_2025!I22),NA())),NA())</f>
        <v>6.6090002059936497</v>
      </c>
      <c r="L106" s="29" t="str">
        <f t="shared" si="0"/>
        <v>Ethiopia</v>
      </c>
      <c r="M106" s="28">
        <f t="shared" si="1"/>
        <v>-0.22969999999999999</v>
      </c>
    </row>
    <row r="107" spans="1:13" x14ac:dyDescent="0.3">
      <c r="A107" s="32" t="str">
        <f>IF($B$3="All",WHR_Comparison_2024_vs_2025!A23,IF(WHR_Comparison_2024_vs_2025!A23=$B$3,WHR_Comparison_2024_vs_2025!A23,NA()))</f>
        <v>Slovenia</v>
      </c>
      <c r="B107" s="2">
        <f>IFERROR(IF($B$3="All",WHR_Comparison_2024_vs_2025!B23,IF(WHR_Comparison_2024_vs_2025!A23=$B$3,WHR_Comparison_2024_vs_2025!B23,NA())),NA())</f>
        <v>6.6498999595642001</v>
      </c>
      <c r="C107" s="2">
        <f>IFERROR(IF($B$3="All",WHR_Comparison_2024_vs_2025!I23,IF(WHR_Comparison_2024_vs_2025!A23=$B$3,WHR_Comparison_2024_vs_2025!I23,NA())),NA())</f>
        <v>6.7432999610900799</v>
      </c>
      <c r="D107" s="2">
        <f>IFERROR(IF($B$3="All",WHR_Comparison_2024_vs_2025!P23,IF(WHR_Comparison_2024_vs_2025!A23=$B$3,WHR_Comparison_2024_vs_2025!P23,NA())),NA())</f>
        <v>9.3399999999999997E-2</v>
      </c>
      <c r="E107" s="2"/>
      <c r="F107" s="2"/>
      <c r="G107" s="2">
        <f>IFERROR(IF($B$3="All",IF($E$3="2024",WHR_Comparison_2024_vs_2025!C23,WHR_Comparison_2024_vs_2025!J23),IF(WHR_Comparison_2024_vs_2025!A23=$B$3,IF($E$3="2024",WHR_Comparison_2024_vs_2025!C23,WHR_Comparison_2024_vs_2025!J23),NA())),NA())</f>
        <v>1.7855999469757</v>
      </c>
      <c r="H107" s="2">
        <f>IFERROR(IF($B$3="All",IF($E$3="2024",WHR_Comparison_2024_vs_2025!B23,WHR_Comparison_2024_vs_2025!I23),IF(WHR_Comparison_2024_vs_2025!A23=$B$3,IF($E$3="2024",WHR_Comparison_2024_vs_2025!B23,WHR_Comparison_2024_vs_2025!I23),NA())),NA())</f>
        <v>6.7432999610900799</v>
      </c>
      <c r="I107" s="2">
        <f>IFERROR(IF($B$3="All",IF($E$3="2024",WHR_Comparison_2024_vs_2025!F23,WHR_Comparison_2024_vs_2025!M23),IF(WHR_Comparison_2024_vs_2025!A23=$B$3,IF($E$3="2024",WHR_Comparison_2024_vs_2025!F23,WHR_Comparison_2024_vs_2025!M23),NA())),NA())</f>
        <v>0.78949558734893799</v>
      </c>
      <c r="J107" s="33">
        <f>IFERROR(IF($B$3="All",IF($E$3="2024",WHR_Comparison_2024_vs_2025!B23,WHR_Comparison_2024_vs_2025!I23),IF(WHR_Comparison_2024_vs_2025!A23=$B$3,IF($E$3="2024",WHR_Comparison_2024_vs_2025!B23,WHR_Comparison_2024_vs_2025!I23),NA())),NA())</f>
        <v>6.7432999610900799</v>
      </c>
    </row>
    <row r="108" spans="1:13" x14ac:dyDescent="0.3">
      <c r="A108" s="32" t="str">
        <f>IF($B$3="All",WHR_Comparison_2024_vs_2025!A24,IF(WHR_Comparison_2024_vs_2025!A24=$B$3,WHR_Comparison_2024_vs_2025!A24,NA()))</f>
        <v>Costa Rica</v>
      </c>
      <c r="B108" s="2">
        <f>IFERROR(IF($B$3="All",WHR_Comparison_2024_vs_2025!B24,IF(WHR_Comparison_2024_vs_2025!A24=$B$3,WHR_Comparison_2024_vs_2025!B24,NA())),NA())</f>
        <v>6.6085000038146902</v>
      </c>
      <c r="C108" s="2">
        <f>IFERROR(IF($B$3="All",WHR_Comparison_2024_vs_2025!I24,IF(WHR_Comparison_2024_vs_2025!A24=$B$3,WHR_Comparison_2024_vs_2025!I24,NA())),NA())</f>
        <v>6.95539999008178</v>
      </c>
      <c r="D108" s="2">
        <f>IFERROR(IF($B$3="All",WHR_Comparison_2024_vs_2025!P24,IF(WHR_Comparison_2024_vs_2025!A24=$B$3,WHR_Comparison_2024_vs_2025!P24,NA())),NA())</f>
        <v>0.34689999999999999</v>
      </c>
      <c r="E108" s="2"/>
      <c r="F108" s="2"/>
      <c r="G108" s="2">
        <f>IFERROR(IF($B$3="All",IF($E$3="2024",WHR_Comparison_2024_vs_2025!C24,WHR_Comparison_2024_vs_2025!J24),IF(WHR_Comparison_2024_vs_2025!A24=$B$3,IF($E$3="2024",WHR_Comparison_2024_vs_2025!C24,WHR_Comparison_2024_vs_2025!J24),NA())),NA())</f>
        <v>1.5606451034545801</v>
      </c>
      <c r="H108" s="2">
        <f>IFERROR(IF($B$3="All",IF($E$3="2024",WHR_Comparison_2024_vs_2025!B24,WHR_Comparison_2024_vs_2025!I24),IF(WHR_Comparison_2024_vs_2025!A24=$B$3,IF($E$3="2024",WHR_Comparison_2024_vs_2025!B24,WHR_Comparison_2024_vs_2025!I24),NA())),NA())</f>
        <v>6.95539999008178</v>
      </c>
      <c r="I108" s="2">
        <f>IFERROR(IF($B$3="All",IF($E$3="2024",WHR_Comparison_2024_vs_2025!F24,WHR_Comparison_2024_vs_2025!M24),IF(WHR_Comparison_2024_vs_2025!A24=$B$3,IF($E$3="2024",WHR_Comparison_2024_vs_2025!F24,WHR_Comparison_2024_vs_2025!M24),NA())),NA())</f>
        <v>0.796511530876159</v>
      </c>
      <c r="J108" s="33">
        <f>IFERROR(IF($B$3="All",IF($E$3="2024",WHR_Comparison_2024_vs_2025!B24,WHR_Comparison_2024_vs_2025!I24),IF(WHR_Comparison_2024_vs_2025!A24=$B$3,IF($E$3="2024",WHR_Comparison_2024_vs_2025!B24,WHR_Comparison_2024_vs_2025!I24),NA())),NA())</f>
        <v>6.95539999008178</v>
      </c>
    </row>
    <row r="109" spans="1:13" x14ac:dyDescent="0.3">
      <c r="A109" s="32" t="str">
        <f>IF($B$3="All",WHR_Comparison_2024_vs_2025!A25,IF(WHR_Comparison_2024_vs_2025!A25=$B$3,WHR_Comparison_2024_vs_2025!A25,NA()))</f>
        <v>Romania</v>
      </c>
      <c r="B109" s="2">
        <f>IFERROR(IF($B$3="All",WHR_Comparison_2024_vs_2025!B25,IF(WHR_Comparison_2024_vs_2025!A25=$B$3,WHR_Comparison_2024_vs_2025!B25,NA())),NA())</f>
        <v>6.5890998840331996</v>
      </c>
      <c r="C109" s="2">
        <f>IFERROR(IF($B$3="All",WHR_Comparison_2024_vs_2025!I25,IF(WHR_Comparison_2024_vs_2025!A25=$B$3,WHR_Comparison_2024_vs_2025!I25,NA())),NA())</f>
        <v>6.4911999702453604</v>
      </c>
      <c r="D109" s="2">
        <f>IFERROR(IF($B$3="All",WHR_Comparison_2024_vs_2025!P25,IF(WHR_Comparison_2024_vs_2025!A25=$B$3,WHR_Comparison_2024_vs_2025!P25,NA())),NA())</f>
        <v>-9.7900000000000001E-2</v>
      </c>
      <c r="E109" s="2"/>
      <c r="F109" s="2"/>
      <c r="G109" s="2">
        <f>IFERROR(IF($B$3="All",IF($E$3="2024",WHR_Comparison_2024_vs_2025!C25,WHR_Comparison_2024_vs_2025!J25),IF(WHR_Comparison_2024_vs_2025!A25=$B$3,IF($E$3="2024",WHR_Comparison_2024_vs_2025!C25,WHR_Comparison_2024_vs_2025!J25),NA())),NA())</f>
        <v>1.69903004169464</v>
      </c>
      <c r="H109" s="2">
        <f>IFERROR(IF($B$3="All",IF($E$3="2024",WHR_Comparison_2024_vs_2025!B25,WHR_Comparison_2024_vs_2025!I25),IF(WHR_Comparison_2024_vs_2025!A25=$B$3,IF($E$3="2024",WHR_Comparison_2024_vs_2025!B25,WHR_Comparison_2024_vs_2025!I25),NA())),NA())</f>
        <v>6.4911999702453604</v>
      </c>
      <c r="I109" s="2">
        <f>IFERROR(IF($B$3="All",IF($E$3="2024",WHR_Comparison_2024_vs_2025!F25,WHR_Comparison_2024_vs_2025!M25),IF(WHR_Comparison_2024_vs_2025!A25=$B$3,IF($E$3="2024",WHR_Comparison_2024_vs_2025!F25,WHR_Comparison_2024_vs_2025!M25),NA())),NA())</f>
        <v>0.71656727790832497</v>
      </c>
      <c r="J109" s="33">
        <f>IFERROR(IF($B$3="All",IF($E$3="2024",WHR_Comparison_2024_vs_2025!B25,WHR_Comparison_2024_vs_2025!I25),IF(WHR_Comparison_2024_vs_2025!A25=$B$3,IF($E$3="2024",WHR_Comparison_2024_vs_2025!B25,WHR_Comparison_2024_vs_2025!I25),NA())),NA())</f>
        <v>6.4911999702453604</v>
      </c>
    </row>
    <row r="110" spans="1:13" x14ac:dyDescent="0.3">
      <c r="A110" s="32" t="str">
        <f>IF($B$3="All",WHR_Comparison_2024_vs_2025!A26,IF(WHR_Comparison_2024_vs_2025!A26=$B$3,WHR_Comparison_2024_vs_2025!A26,NA()))</f>
        <v>Singapore</v>
      </c>
      <c r="B110" s="2">
        <f>IFERROR(IF($B$3="All",WHR_Comparison_2024_vs_2025!B26,IF(WHR_Comparison_2024_vs_2025!A26=$B$3,WHR_Comparison_2024_vs_2025!B26,NA())),NA())</f>
        <v>6.5866999626159597</v>
      </c>
      <c r="C110" s="2">
        <f>IFERROR(IF($B$3="All",WHR_Comparison_2024_vs_2025!I26,IF(WHR_Comparison_2024_vs_2025!A26=$B$3,WHR_Comparison_2024_vs_2025!I26,NA())),NA())</f>
        <v>6.5227999687194798</v>
      </c>
      <c r="D110" s="2">
        <f>IFERROR(IF($B$3="All",WHR_Comparison_2024_vs_2025!P26,IF(WHR_Comparison_2024_vs_2025!A26=$B$3,WHR_Comparison_2024_vs_2025!P26,NA())),NA())</f>
        <v>-6.3899999999999998E-2</v>
      </c>
      <c r="E110" s="2"/>
      <c r="F110" s="2"/>
      <c r="G110" s="2">
        <f>IFERROR(IF($B$3="All",IF($E$3="2024",WHR_Comparison_2024_vs_2025!C26,WHR_Comparison_2024_vs_2025!J26),IF(WHR_Comparison_2024_vs_2025!A26=$B$3,IF($E$3="2024",WHR_Comparison_2024_vs_2025!C26,WHR_Comparison_2024_vs_2025!J26),NA())),NA())</f>
        <v>2.11809849739074</v>
      </c>
      <c r="H110" s="2">
        <f>IFERROR(IF($B$3="All",IF($E$3="2024",WHR_Comparison_2024_vs_2025!B26,WHR_Comparison_2024_vs_2025!I26),IF(WHR_Comparison_2024_vs_2025!A26=$B$3,IF($E$3="2024",WHR_Comparison_2024_vs_2025!B26,WHR_Comparison_2024_vs_2025!I26),NA())),NA())</f>
        <v>6.5227999687194798</v>
      </c>
      <c r="I110" s="2">
        <f>IFERROR(IF($B$3="All",IF($E$3="2024",WHR_Comparison_2024_vs_2025!F26,WHR_Comparison_2024_vs_2025!M26),IF(WHR_Comparison_2024_vs_2025!A26=$B$3,IF($E$3="2024",WHR_Comparison_2024_vs_2025!F26,WHR_Comparison_2024_vs_2025!M26),NA())),NA())</f>
        <v>0.74294829368591297</v>
      </c>
      <c r="J110" s="33">
        <f>IFERROR(IF($B$3="All",IF($E$3="2024",WHR_Comparison_2024_vs_2025!B26,WHR_Comparison_2024_vs_2025!I26),IF(WHR_Comparison_2024_vs_2025!A26=$B$3,IF($E$3="2024",WHR_Comparison_2024_vs_2025!B26,WHR_Comparison_2024_vs_2025!I26),NA())),NA())</f>
        <v>6.5227999687194798</v>
      </c>
    </row>
    <row r="111" spans="1:13" x14ac:dyDescent="0.3">
      <c r="A111" s="32" t="str">
        <f>IF($B$3="All",WHR_Comparison_2024_vs_2025!A27,IF(WHR_Comparison_2024_vs_2025!A27=$B$3,WHR_Comparison_2024_vs_2025!A27,NA()))</f>
        <v>United Arab Emirates</v>
      </c>
      <c r="B111" s="2">
        <f>IFERROR(IF($B$3="All",WHR_Comparison_2024_vs_2025!B27,IF(WHR_Comparison_2024_vs_2025!A27=$B$3,WHR_Comparison_2024_vs_2025!B27,NA())),NA())</f>
        <v>6.5711998939514098</v>
      </c>
      <c r="C111" s="2">
        <f>IFERROR(IF($B$3="All",WHR_Comparison_2024_vs_2025!I27,IF(WHR_Comparison_2024_vs_2025!A27=$B$3,WHR_Comparison_2024_vs_2025!I27,NA())),NA())</f>
        <v>6.7330999374389604</v>
      </c>
      <c r="D111" s="2">
        <f>IFERROR(IF($B$3="All",WHR_Comparison_2024_vs_2025!P27,IF(WHR_Comparison_2024_vs_2025!A27=$B$3,WHR_Comparison_2024_vs_2025!P27,NA())),NA())</f>
        <v>0.16189999999999999</v>
      </c>
      <c r="E111" s="2"/>
      <c r="F111" s="2"/>
      <c r="G111" s="2">
        <f>IFERROR(IF($B$3="All",IF($E$3="2024",WHR_Comparison_2024_vs_2025!C27,WHR_Comparison_2024_vs_2025!J27),IF(WHR_Comparison_2024_vs_2025!A27=$B$3,IF($E$3="2024",WHR_Comparison_2024_vs_2025!C27,WHR_Comparison_2024_vs_2025!J27),NA())),NA())</f>
        <v>1.9831197261810301</v>
      </c>
      <c r="H111" s="2">
        <f>IFERROR(IF($B$3="All",IF($E$3="2024",WHR_Comparison_2024_vs_2025!B27,WHR_Comparison_2024_vs_2025!I27),IF(WHR_Comparison_2024_vs_2025!A27=$B$3,IF($E$3="2024",WHR_Comparison_2024_vs_2025!B27,WHR_Comparison_2024_vs_2025!I27),NA())),NA())</f>
        <v>6.7330999374389604</v>
      </c>
      <c r="I111" s="2">
        <f>IFERROR(IF($B$3="All",IF($E$3="2024",WHR_Comparison_2024_vs_2025!F27,WHR_Comparison_2024_vs_2025!M27),IF(WHR_Comparison_2024_vs_2025!A27=$B$3,IF($E$3="2024",WHR_Comparison_2024_vs_2025!F27,WHR_Comparison_2024_vs_2025!M27),NA())),NA())</f>
        <v>0.81499636173248202</v>
      </c>
      <c r="J111" s="33">
        <f>IFERROR(IF($B$3="All",IF($E$3="2024",WHR_Comparison_2024_vs_2025!B27,WHR_Comparison_2024_vs_2025!I27),IF(WHR_Comparison_2024_vs_2025!A27=$B$3,IF($E$3="2024",WHR_Comparison_2024_vs_2025!B27,WHR_Comparison_2024_vs_2025!I27),NA())),NA())</f>
        <v>6.7330999374389604</v>
      </c>
    </row>
    <row r="112" spans="1:13" x14ac:dyDescent="0.3">
      <c r="A112" s="32" t="str">
        <f>IF($B$3="All",WHR_Comparison_2024_vs_2025!A28,IF(WHR_Comparison_2024_vs_2025!A28=$B$3,WHR_Comparison_2024_vs_2025!A28,NA()))</f>
        <v>Taiwan Province of China</v>
      </c>
      <c r="B112" s="2">
        <f>IFERROR(IF($B$3="All",WHR_Comparison_2024_vs_2025!B28,IF(WHR_Comparison_2024_vs_2025!A28=$B$3,WHR_Comparison_2024_vs_2025!B28,NA())),NA())</f>
        <v>6.53539991378784</v>
      </c>
      <c r="C112" s="2">
        <f>IFERROR(IF($B$3="All",WHR_Comparison_2024_vs_2025!I28,IF(WHR_Comparison_2024_vs_2025!A28=$B$3,WHR_Comparison_2024_vs_2025!I28,NA())),NA())</f>
        <v>6.50349998474121</v>
      </c>
      <c r="D112" s="2">
        <f>IFERROR(IF($B$3="All",WHR_Comparison_2024_vs_2025!P28,IF(WHR_Comparison_2024_vs_2025!A28=$B$3,WHR_Comparison_2024_vs_2025!P28,NA())),NA())</f>
        <v>-3.1899999999999998E-2</v>
      </c>
      <c r="E112" s="2"/>
      <c r="F112" s="2"/>
      <c r="G112" s="2">
        <f>IFERROR(IF($B$3="All",IF($E$3="2024",WHR_Comparison_2024_vs_2025!C28,WHR_Comparison_2024_vs_2025!J28),IF(WHR_Comparison_2024_vs_2025!A28=$B$3,IF($E$3="2024",WHR_Comparison_2024_vs_2025!C28,WHR_Comparison_2024_vs_2025!J28),NA())),NA())</f>
        <v>1.8415800333023</v>
      </c>
      <c r="H112" s="2">
        <f>IFERROR(IF($B$3="All",IF($E$3="2024",WHR_Comparison_2024_vs_2025!B28,WHR_Comparison_2024_vs_2025!I28),IF(WHR_Comparison_2024_vs_2025!A28=$B$3,IF($E$3="2024",WHR_Comparison_2024_vs_2025!B28,WHR_Comparison_2024_vs_2025!I28),NA())),NA())</f>
        <v>6.50349998474121</v>
      </c>
      <c r="I112" s="2">
        <f>IFERROR(IF($B$3="All",IF($E$3="2024",WHR_Comparison_2024_vs_2025!F28,WHR_Comparison_2024_vs_2025!M28),IF(WHR_Comparison_2024_vs_2025!A28=$B$3,IF($E$3="2024",WHR_Comparison_2024_vs_2025!F28,WHR_Comparison_2024_vs_2025!M28),NA())),NA())</f>
        <v>0.64903622865676802</v>
      </c>
      <c r="J112" s="33">
        <f>IFERROR(IF($B$3="All",IF($E$3="2024",WHR_Comparison_2024_vs_2025!B28,WHR_Comparison_2024_vs_2025!I28),IF(WHR_Comparison_2024_vs_2025!A28=$B$3,IF($E$3="2024",WHR_Comparison_2024_vs_2025!B28,WHR_Comparison_2024_vs_2025!I28),NA())),NA())</f>
        <v>6.50349998474121</v>
      </c>
    </row>
    <row r="113" spans="1:10" x14ac:dyDescent="0.3">
      <c r="A113" s="32" t="str">
        <f>IF($B$3="All",WHR_Comparison_2024_vs_2025!A29,IF(WHR_Comparison_2024_vs_2025!A29=$B$3,WHR_Comparison_2024_vs_2025!A29,NA()))</f>
        <v>Uruguay</v>
      </c>
      <c r="B113" s="2">
        <f>IFERROR(IF($B$3="All",WHR_Comparison_2024_vs_2025!B29,IF(WHR_Comparison_2024_vs_2025!A29=$B$3,WHR_Comparison_2024_vs_2025!B29,NA())),NA())</f>
        <v>6.4938998222351003</v>
      </c>
      <c r="C113" s="2">
        <f>IFERROR(IF($B$3="All",WHR_Comparison_2024_vs_2025!I29,IF(WHR_Comparison_2024_vs_2025!A29=$B$3,WHR_Comparison_2024_vs_2025!I29,NA())),NA())</f>
        <v>6.6114997863769496</v>
      </c>
      <c r="D113" s="2">
        <f>IFERROR(IF($B$3="All",WHR_Comparison_2024_vs_2025!P29,IF(WHR_Comparison_2024_vs_2025!A29=$B$3,WHR_Comparison_2024_vs_2025!P29,NA())),NA())</f>
        <v>0.1176</v>
      </c>
      <c r="E113" s="2"/>
      <c r="F113" s="2"/>
      <c r="G113" s="2">
        <f>IFERROR(IF($B$3="All",IF($E$3="2024",WHR_Comparison_2024_vs_2025!C29,WHR_Comparison_2024_vs_2025!J29),IF(WHR_Comparison_2024_vs_2025!A29=$B$3,IF($E$3="2024",WHR_Comparison_2024_vs_2025!C29,WHR_Comparison_2024_vs_2025!J29),NA())),NA())</f>
        <v>1.59556925296783</v>
      </c>
      <c r="H113" s="2">
        <f>IFERROR(IF($B$3="All",IF($E$3="2024",WHR_Comparison_2024_vs_2025!B29,WHR_Comparison_2024_vs_2025!I29),IF(WHR_Comparison_2024_vs_2025!A29=$B$3,IF($E$3="2024",WHR_Comparison_2024_vs_2025!B29,WHR_Comparison_2024_vs_2025!I29),NA())),NA())</f>
        <v>6.6114997863769496</v>
      </c>
      <c r="I113" s="2">
        <f>IFERROR(IF($B$3="All",IF($E$3="2024",WHR_Comparison_2024_vs_2025!F29,WHR_Comparison_2024_vs_2025!M29),IF(WHR_Comparison_2024_vs_2025!A29=$B$3,IF($E$3="2024",WHR_Comparison_2024_vs_2025!F29,WHR_Comparison_2024_vs_2025!M29),NA())),NA())</f>
        <v>0.77518963813781705</v>
      </c>
      <c r="J113" s="33">
        <f>IFERROR(IF($B$3="All",IF($E$3="2024",WHR_Comparison_2024_vs_2025!B29,WHR_Comparison_2024_vs_2025!I29),IF(WHR_Comparison_2024_vs_2025!A29=$B$3,IF($E$3="2024",WHR_Comparison_2024_vs_2025!B29,WHR_Comparison_2024_vs_2025!I29),NA())),NA())</f>
        <v>6.6114997863769496</v>
      </c>
    </row>
    <row r="114" spans="1:10" x14ac:dyDescent="0.3">
      <c r="A114" s="32" t="str">
        <f>IF($B$3="All",WHR_Comparison_2024_vs_2025!A30,IF(WHR_Comparison_2024_vs_2025!A30=$B$3,WHR_Comparison_2024_vs_2025!A30,NA()))</f>
        <v>Slovakia</v>
      </c>
      <c r="B114" s="2">
        <f>IFERROR(IF($B$3="All",WHR_Comparison_2024_vs_2025!B30,IF(WHR_Comparison_2024_vs_2025!A30=$B$3,WHR_Comparison_2024_vs_2025!B30,NA())),NA())</f>
        <v>6.4685997962951598</v>
      </c>
      <c r="C114" s="2">
        <f>IFERROR(IF($B$3="All",WHR_Comparison_2024_vs_2025!I30,IF(WHR_Comparison_2024_vs_2025!A30=$B$3,WHR_Comparison_2024_vs_2025!I30,NA())),NA())</f>
        <v>6.2571001052856401</v>
      </c>
      <c r="D114" s="2">
        <f>IFERROR(IF($B$3="All",WHR_Comparison_2024_vs_2025!P30,IF(WHR_Comparison_2024_vs_2025!A30=$B$3,WHR_Comparison_2024_vs_2025!P30,NA())),NA())</f>
        <v>-0.21149999999999999</v>
      </c>
      <c r="E114" s="2"/>
      <c r="F114" s="2"/>
      <c r="G114" s="2">
        <f>IFERROR(IF($B$3="All",IF($E$3="2024",WHR_Comparison_2024_vs_2025!C30,WHR_Comparison_2024_vs_2025!J30),IF(WHR_Comparison_2024_vs_2025!A30=$B$3,IF($E$3="2024",WHR_Comparison_2024_vs_2025!C30,WHR_Comparison_2024_vs_2025!J30),NA())),NA())</f>
        <v>1.7055419683456401</v>
      </c>
      <c r="H114" s="2">
        <f>IFERROR(IF($B$3="All",IF($E$3="2024",WHR_Comparison_2024_vs_2025!B30,WHR_Comparison_2024_vs_2025!I30),IF(WHR_Comparison_2024_vs_2025!A30=$B$3,IF($E$3="2024",WHR_Comparison_2024_vs_2025!B30,WHR_Comparison_2024_vs_2025!I30),NA())),NA())</f>
        <v>6.2571001052856401</v>
      </c>
      <c r="I114" s="2">
        <f>IFERROR(IF($B$3="All",IF($E$3="2024",WHR_Comparison_2024_vs_2025!F30,WHR_Comparison_2024_vs_2025!M30),IF(WHR_Comparison_2024_vs_2025!A30=$B$3,IF($E$3="2024",WHR_Comparison_2024_vs_2025!F30,WHR_Comparison_2024_vs_2025!M30),NA())),NA())</f>
        <v>0.56641948223114003</v>
      </c>
      <c r="J114" s="33">
        <f>IFERROR(IF($B$3="All",IF($E$3="2024",WHR_Comparison_2024_vs_2025!B30,WHR_Comparison_2024_vs_2025!I30),IF(WHR_Comparison_2024_vs_2025!A30=$B$3,IF($E$3="2024",WHR_Comparison_2024_vs_2025!B30,WHR_Comparison_2024_vs_2025!I30),NA())),NA())</f>
        <v>6.2571001052856401</v>
      </c>
    </row>
    <row r="115" spans="1:10" x14ac:dyDescent="0.3">
      <c r="A115" s="32" t="str">
        <f>IF($B$3="All",WHR_Comparison_2024_vs_2025!A31,IF(WHR_Comparison_2024_vs_2025!A31=$B$3,WHR_Comparison_2024_vs_2025!A31,NA()))</f>
        <v>Saudi Arabia</v>
      </c>
      <c r="B115" s="2">
        <f>IFERROR(IF($B$3="All",WHR_Comparison_2024_vs_2025!B31,IF(WHR_Comparison_2024_vs_2025!A31=$B$3,WHR_Comparison_2024_vs_2025!B31,NA())),NA())</f>
        <v>6.4626002311706499</v>
      </c>
      <c r="C115" s="2">
        <f>IFERROR(IF($B$3="All",WHR_Comparison_2024_vs_2025!I31,IF(WHR_Comparison_2024_vs_2025!A31=$B$3,WHR_Comparison_2024_vs_2025!I31,NA())),NA())</f>
        <v>6.5935001373290998</v>
      </c>
      <c r="D115" s="2">
        <f>IFERROR(IF($B$3="All",WHR_Comparison_2024_vs_2025!P31,IF(WHR_Comparison_2024_vs_2025!A31=$B$3,WHR_Comparison_2024_vs_2025!P31,NA())),NA())</f>
        <v>0.13089999999999999</v>
      </c>
      <c r="E115" s="2"/>
      <c r="F115" s="2"/>
      <c r="G115" s="2">
        <f>IFERROR(IF($B$3="All",IF($E$3="2024",WHR_Comparison_2024_vs_2025!C31,WHR_Comparison_2024_vs_2025!J31),IF(WHR_Comparison_2024_vs_2025!A31=$B$3,IF($E$3="2024",WHR_Comparison_2024_vs_2025!C31,WHR_Comparison_2024_vs_2025!J31),NA())),NA())</f>
        <v>1.84239709377288</v>
      </c>
      <c r="H115" s="2">
        <f>IFERROR(IF($B$3="All",IF($E$3="2024",WHR_Comparison_2024_vs_2025!B31,WHR_Comparison_2024_vs_2025!I31),IF(WHR_Comparison_2024_vs_2025!A31=$B$3,IF($E$3="2024",WHR_Comparison_2024_vs_2025!B31,WHR_Comparison_2024_vs_2025!I31),NA())),NA())</f>
        <v>6.5935001373290998</v>
      </c>
      <c r="I115" s="2">
        <f>IFERROR(IF($B$3="All",IF($E$3="2024",WHR_Comparison_2024_vs_2025!F31,WHR_Comparison_2024_vs_2025!M31),IF(WHR_Comparison_2024_vs_2025!A31=$B$3,IF($E$3="2024",WHR_Comparison_2024_vs_2025!F31,WHR_Comparison_2024_vs_2025!M31),NA())),NA())</f>
        <v>0.78711843490600497</v>
      </c>
      <c r="J115" s="33">
        <f>IFERROR(IF($B$3="All",IF($E$3="2024",WHR_Comparison_2024_vs_2025!B31,WHR_Comparison_2024_vs_2025!I31),IF(WHR_Comparison_2024_vs_2025!A31=$B$3,IF($E$3="2024",WHR_Comparison_2024_vs_2025!B31,WHR_Comparison_2024_vs_2025!I31),NA())),NA())</f>
        <v>6.5935001373290998</v>
      </c>
    </row>
    <row r="116" spans="1:10" x14ac:dyDescent="0.3">
      <c r="A116" s="32" t="str">
        <f>IF($B$3="All",WHR_Comparison_2024_vs_2025!A32,IF(WHR_Comparison_2024_vs_2025!A32=$B$3,WHR_Comparison_2024_vs_2025!A32,NA()))</f>
        <v>Estonia</v>
      </c>
      <c r="B116" s="2">
        <f>IFERROR(IF($B$3="All",WHR_Comparison_2024_vs_2025!B32,IF(WHR_Comparison_2024_vs_2025!A32=$B$3,WHR_Comparison_2024_vs_2025!B32,NA())),NA())</f>
        <v>6.4552001953125</v>
      </c>
      <c r="C116" s="2">
        <f>IFERROR(IF($B$3="All",WHR_Comparison_2024_vs_2025!I32,IF(WHR_Comparison_2024_vs_2025!A32=$B$3,WHR_Comparison_2024_vs_2025!I32,NA())),NA())</f>
        <v>6.4477000236511204</v>
      </c>
      <c r="D116" s="2">
        <f>IFERROR(IF($B$3="All",WHR_Comparison_2024_vs_2025!P32,IF(WHR_Comparison_2024_vs_2025!A32=$B$3,WHR_Comparison_2024_vs_2025!P32,NA())),NA())</f>
        <v>-7.4999999999999997E-3</v>
      </c>
      <c r="E116" s="2"/>
      <c r="F116" s="2"/>
      <c r="G116" s="2">
        <f>IFERROR(IF($B$3="All",IF($E$3="2024",WHR_Comparison_2024_vs_2025!C32,WHR_Comparison_2024_vs_2025!J32),IF(WHR_Comparison_2024_vs_2025!A32=$B$3,IF($E$3="2024",WHR_Comparison_2024_vs_2025!C32,WHR_Comparison_2024_vs_2025!J32),NA())),NA())</f>
        <v>1.75184726715087</v>
      </c>
      <c r="H116" s="2">
        <f>IFERROR(IF($B$3="All",IF($E$3="2024",WHR_Comparison_2024_vs_2025!B32,WHR_Comparison_2024_vs_2025!I32),IF(WHR_Comparison_2024_vs_2025!A32=$B$3,IF($E$3="2024",WHR_Comparison_2024_vs_2025!B32,WHR_Comparison_2024_vs_2025!I32),NA())),NA())</f>
        <v>6.4477000236511204</v>
      </c>
      <c r="I116" s="2">
        <f>IFERROR(IF($B$3="All",IF($E$3="2024",WHR_Comparison_2024_vs_2025!F32,WHR_Comparison_2024_vs_2025!M32),IF(WHR_Comparison_2024_vs_2025!A32=$B$3,IF($E$3="2024",WHR_Comparison_2024_vs_2025!F32,WHR_Comparison_2024_vs_2025!M32),NA())),NA())</f>
        <v>0.80537539720535201</v>
      </c>
      <c r="J116" s="33">
        <f>IFERROR(IF($B$3="All",IF($E$3="2024",WHR_Comparison_2024_vs_2025!B32,WHR_Comparison_2024_vs_2025!I32),IF(WHR_Comparison_2024_vs_2025!A32=$B$3,IF($E$3="2024",WHR_Comparison_2024_vs_2025!B32,WHR_Comparison_2024_vs_2025!I32),NA())),NA())</f>
        <v>6.4477000236511204</v>
      </c>
    </row>
    <row r="117" spans="1:10" x14ac:dyDescent="0.3">
      <c r="A117" s="32" t="str">
        <f>IF($B$3="All",WHR_Comparison_2024_vs_2025!A33,IF(WHR_Comparison_2024_vs_2025!A33=$B$3,WHR_Comparison_2024_vs_2025!A33,NA()))</f>
        <v>Spain</v>
      </c>
      <c r="B117" s="2">
        <f>IFERROR(IF($B$3="All",WHR_Comparison_2024_vs_2025!B33,IF(WHR_Comparison_2024_vs_2025!A33=$B$3,WHR_Comparison_2024_vs_2025!B33,NA())),NA())</f>
        <v>6.4362001419067303</v>
      </c>
      <c r="C117" s="2">
        <f>IFERROR(IF($B$3="All",WHR_Comparison_2024_vs_2025!I33,IF(WHR_Comparison_2024_vs_2025!A33=$B$3,WHR_Comparison_2024_vs_2025!I33,NA())),NA())</f>
        <v>6.4208998680114702</v>
      </c>
      <c r="D117" s="2">
        <f>IFERROR(IF($B$3="All",WHR_Comparison_2024_vs_2025!P33,IF(WHR_Comparison_2024_vs_2025!A33=$B$3,WHR_Comparison_2024_vs_2025!P33,NA())),NA())</f>
        <v>-1.5299999999999999E-2</v>
      </c>
      <c r="E117" s="2"/>
      <c r="F117" s="2"/>
      <c r="G117" s="2">
        <f>IFERROR(IF($B$3="All",IF($E$3="2024",WHR_Comparison_2024_vs_2025!C33,WHR_Comparison_2024_vs_2025!J33),IF(WHR_Comparison_2024_vs_2025!A33=$B$3,IF($E$3="2024",WHR_Comparison_2024_vs_2025!C33,WHR_Comparison_2024_vs_2025!J33),NA())),NA())</f>
        <v>1.7661887407302801</v>
      </c>
      <c r="H117" s="2">
        <f>IFERROR(IF($B$3="All",IF($E$3="2024",WHR_Comparison_2024_vs_2025!B33,WHR_Comparison_2024_vs_2025!I33),IF(WHR_Comparison_2024_vs_2025!A33=$B$3,IF($E$3="2024",WHR_Comparison_2024_vs_2025!B33,WHR_Comparison_2024_vs_2025!I33),NA())),NA())</f>
        <v>6.4208998680114702</v>
      </c>
      <c r="I117" s="2">
        <f>IFERROR(IF($B$3="All",IF($E$3="2024",WHR_Comparison_2024_vs_2025!F33,WHR_Comparison_2024_vs_2025!M33),IF(WHR_Comparison_2024_vs_2025!A33=$B$3,IF($E$3="2024",WHR_Comparison_2024_vs_2025!F33,WHR_Comparison_2024_vs_2025!M33),NA())),NA())</f>
        <v>0.61898076534271196</v>
      </c>
      <c r="J117" s="33">
        <f>IFERROR(IF($B$3="All",IF($E$3="2024",WHR_Comparison_2024_vs_2025!B33,WHR_Comparison_2024_vs_2025!I33),IF(WHR_Comparison_2024_vs_2025!A33=$B$3,IF($E$3="2024",WHR_Comparison_2024_vs_2025!B33,WHR_Comparison_2024_vs_2025!I33),NA())),NA())</f>
        <v>6.4208998680114702</v>
      </c>
    </row>
    <row r="118" spans="1:10" x14ac:dyDescent="0.3">
      <c r="A118" s="32" t="str">
        <f>IF($B$3="All",WHR_Comparison_2024_vs_2025!A34,IF(WHR_Comparison_2024_vs_2025!A34=$B$3,WHR_Comparison_2024_vs_2025!A34,NA()))</f>
        <v>Italy</v>
      </c>
      <c r="B118" s="2">
        <f>IFERROR(IF($B$3="All",WHR_Comparison_2024_vs_2025!B34,IF(WHR_Comparison_2024_vs_2025!A34=$B$3,WHR_Comparison_2024_vs_2025!B34,NA())),NA())</f>
        <v>6.4045000076293901</v>
      </c>
      <c r="C118" s="2">
        <f>IFERROR(IF($B$3="All",WHR_Comparison_2024_vs_2025!I34,IF(WHR_Comparison_2024_vs_2025!A34=$B$3,WHR_Comparison_2024_vs_2025!I34,NA())),NA())</f>
        <v>6.3235001564025799</v>
      </c>
      <c r="D118" s="2">
        <f>IFERROR(IF($B$3="All",WHR_Comparison_2024_vs_2025!P34,IF(WHR_Comparison_2024_vs_2025!A34=$B$3,WHR_Comparison_2024_vs_2025!P34,NA())),NA())</f>
        <v>-8.1000000000000003E-2</v>
      </c>
      <c r="E118" s="2"/>
      <c r="F118" s="2"/>
      <c r="G118" s="2">
        <f>IFERROR(IF($B$3="All",IF($E$3="2024",WHR_Comparison_2024_vs_2025!C34,WHR_Comparison_2024_vs_2025!J34),IF(WHR_Comparison_2024_vs_2025!A34=$B$3,IF($E$3="2024",WHR_Comparison_2024_vs_2025!C34,WHR_Comparison_2024_vs_2025!J34),NA())),NA())</f>
        <v>1.8001515865325901</v>
      </c>
      <c r="H118" s="2">
        <f>IFERROR(IF($B$3="All",IF($E$3="2024",WHR_Comparison_2024_vs_2025!B34,WHR_Comparison_2024_vs_2025!I34),IF(WHR_Comparison_2024_vs_2025!A34=$B$3,IF($E$3="2024",WHR_Comparison_2024_vs_2025!B34,WHR_Comparison_2024_vs_2025!I34),NA())),NA())</f>
        <v>6.3235001564025799</v>
      </c>
      <c r="I118" s="2">
        <f>IFERROR(IF($B$3="All",IF($E$3="2024",WHR_Comparison_2024_vs_2025!F34,WHR_Comparison_2024_vs_2025!M34),IF(WHR_Comparison_2024_vs_2025!A34=$B$3,IF($E$3="2024",WHR_Comparison_2024_vs_2025!F34,WHR_Comparison_2024_vs_2025!M34),NA())),NA())</f>
        <v>0.51298743486404397</v>
      </c>
      <c r="J118" s="33">
        <f>IFERROR(IF($B$3="All",IF($E$3="2024",WHR_Comparison_2024_vs_2025!B34,WHR_Comparison_2024_vs_2025!I34),IF(WHR_Comparison_2024_vs_2025!A34=$B$3,IF($E$3="2024",WHR_Comparison_2024_vs_2025!B34,WHR_Comparison_2024_vs_2025!I34),NA())),NA())</f>
        <v>6.3235001564025799</v>
      </c>
    </row>
    <row r="119" spans="1:10" x14ac:dyDescent="0.3">
      <c r="A119" s="32" t="str">
        <f>IF($B$3="All",WHR_Comparison_2024_vs_2025!A35,IF(WHR_Comparison_2024_vs_2025!A35=$B$3,WHR_Comparison_2024_vs_2025!A35,NA()))</f>
        <v>Chile</v>
      </c>
      <c r="B119" s="2">
        <f>IFERROR(IF($B$3="All",WHR_Comparison_2024_vs_2025!B35,IF(WHR_Comparison_2024_vs_2025!A35=$B$3,WHR_Comparison_2024_vs_2025!B35,NA())),NA())</f>
        <v>6.3337998390197701</v>
      </c>
      <c r="C119" s="2">
        <f>IFERROR(IF($B$3="All",WHR_Comparison_2024_vs_2025!I35,IF(WHR_Comparison_2024_vs_2025!A35=$B$3,WHR_Comparison_2024_vs_2025!I35,NA())),NA())</f>
        <v>6.3603000640869096</v>
      </c>
      <c r="D119" s="2">
        <f>IFERROR(IF($B$3="All",WHR_Comparison_2024_vs_2025!P35,IF(WHR_Comparison_2024_vs_2025!A35=$B$3,WHR_Comparison_2024_vs_2025!P35,NA())),NA())</f>
        <v>2.6499999999999999E-2</v>
      </c>
      <c r="E119" s="2"/>
      <c r="F119" s="2"/>
      <c r="G119" s="2">
        <f>IFERROR(IF($B$3="All",IF($E$3="2024",WHR_Comparison_2024_vs_2025!C35,WHR_Comparison_2024_vs_2025!J35),IF(WHR_Comparison_2024_vs_2025!A35=$B$3,IF($E$3="2024",WHR_Comparison_2024_vs_2025!C35,WHR_Comparison_2024_vs_2025!J35),NA())),NA())</f>
        <v>1.6164460182189899</v>
      </c>
      <c r="H119" s="2">
        <f>IFERROR(IF($B$3="All",IF($E$3="2024",WHR_Comparison_2024_vs_2025!B35,WHR_Comparison_2024_vs_2025!I35),IF(WHR_Comparison_2024_vs_2025!A35=$B$3,IF($E$3="2024",WHR_Comparison_2024_vs_2025!B35,WHR_Comparison_2024_vs_2025!I35),NA())),NA())</f>
        <v>6.3603000640869096</v>
      </c>
      <c r="I119" s="2">
        <f>IFERROR(IF($B$3="All",IF($E$3="2024",WHR_Comparison_2024_vs_2025!F35,WHR_Comparison_2024_vs_2025!M35),IF(WHR_Comparison_2024_vs_2025!A35=$B$3,IF($E$3="2024",WHR_Comparison_2024_vs_2025!F35,WHR_Comparison_2024_vs_2025!M35),NA())),NA())</f>
        <v>0.65083158016204801</v>
      </c>
      <c r="J119" s="33">
        <f>IFERROR(IF($B$3="All",IF($E$3="2024",WHR_Comparison_2024_vs_2025!B35,WHR_Comparison_2024_vs_2025!I35),IF(WHR_Comparison_2024_vs_2025!A35=$B$3,IF($E$3="2024",WHR_Comparison_2024_vs_2025!B35,WHR_Comparison_2024_vs_2025!I35),NA())),NA())</f>
        <v>6.3603000640869096</v>
      </c>
    </row>
    <row r="120" spans="1:10" x14ac:dyDescent="0.3">
      <c r="A120" s="32" t="str">
        <f>IF($B$3="All",WHR_Comparison_2024_vs_2025!A36,IF(WHR_Comparison_2024_vs_2025!A36=$B$3,WHR_Comparison_2024_vs_2025!A36,NA()))</f>
        <v>Mexico</v>
      </c>
      <c r="B120" s="2">
        <f>IFERROR(IF($B$3="All",WHR_Comparison_2024_vs_2025!B36,IF(WHR_Comparison_2024_vs_2025!A36=$B$3,WHR_Comparison_2024_vs_2025!B36,NA())),NA())</f>
        <v>6.3295001983642498</v>
      </c>
      <c r="C120" s="2">
        <f>IFERROR(IF($B$3="All",WHR_Comparison_2024_vs_2025!I36,IF(WHR_Comparison_2024_vs_2025!A36=$B$3,WHR_Comparison_2024_vs_2025!I36,NA())),NA())</f>
        <v>6.6779999732971103</v>
      </c>
      <c r="D120" s="2">
        <f>IFERROR(IF($B$3="All",WHR_Comparison_2024_vs_2025!P36,IF(WHR_Comparison_2024_vs_2025!A36=$B$3,WHR_Comparison_2024_vs_2025!P36,NA())),NA())</f>
        <v>0.34849999999999998</v>
      </c>
      <c r="E120" s="2"/>
      <c r="F120" s="2"/>
      <c r="G120" s="2">
        <f>IFERROR(IF($B$3="All",IF($E$3="2024",WHR_Comparison_2024_vs_2025!C36,WHR_Comparison_2024_vs_2025!J36),IF(WHR_Comparison_2024_vs_2025!A36=$B$3,IF($E$3="2024",WHR_Comparison_2024_vs_2025!C36,WHR_Comparison_2024_vs_2025!J36),NA())),NA())</f>
        <v>1.52074146270751</v>
      </c>
      <c r="H120" s="2">
        <f>IFERROR(IF($B$3="All",IF($E$3="2024",WHR_Comparison_2024_vs_2025!B36,WHR_Comparison_2024_vs_2025!I36),IF(WHR_Comparison_2024_vs_2025!A36=$B$3,IF($E$3="2024",WHR_Comparison_2024_vs_2025!B36,WHR_Comparison_2024_vs_2025!I36),NA())),NA())</f>
        <v>6.6779999732971103</v>
      </c>
      <c r="I120" s="2">
        <f>IFERROR(IF($B$3="All",IF($E$3="2024",WHR_Comparison_2024_vs_2025!F36,WHR_Comparison_2024_vs_2025!M36),IF(WHR_Comparison_2024_vs_2025!A36=$B$3,IF($E$3="2024",WHR_Comparison_2024_vs_2025!F36,WHR_Comparison_2024_vs_2025!M36),NA())),NA())</f>
        <v>0.72211104631423895</v>
      </c>
      <c r="J120" s="33">
        <f>IFERROR(IF($B$3="All",IF($E$3="2024",WHR_Comparison_2024_vs_2025!B36,WHR_Comparison_2024_vs_2025!I36),IF(WHR_Comparison_2024_vs_2025!A36=$B$3,IF($E$3="2024",WHR_Comparison_2024_vs_2025!B36,WHR_Comparison_2024_vs_2025!I36),NA())),NA())</f>
        <v>6.6779999732971103</v>
      </c>
    </row>
    <row r="121" spans="1:10" x14ac:dyDescent="0.3">
      <c r="A121" s="32" t="str">
        <f>IF($B$3="All",WHR_Comparison_2024_vs_2025!A37,IF(WHR_Comparison_2024_vs_2025!A37=$B$3,WHR_Comparison_2024_vs_2025!A37,NA()))</f>
        <v>Malta</v>
      </c>
      <c r="B121" s="2">
        <f>IFERROR(IF($B$3="All",WHR_Comparison_2024_vs_2025!B37,IF(WHR_Comparison_2024_vs_2025!A37=$B$3,WHR_Comparison_2024_vs_2025!B37,NA())),NA())</f>
        <v>6.2999000549316397</v>
      </c>
      <c r="C121" s="2">
        <f>IFERROR(IF($B$3="All",WHR_Comparison_2024_vs_2025!I37,IF(WHR_Comparison_2024_vs_2025!A37=$B$3,WHR_Comparison_2024_vs_2025!I37,NA())),NA())</f>
        <v>6.3457999229431099</v>
      </c>
      <c r="D121" s="2">
        <f>IFERROR(IF($B$3="All",WHR_Comparison_2024_vs_2025!P37,IF(WHR_Comparison_2024_vs_2025!A37=$B$3,WHR_Comparison_2024_vs_2025!P37,NA())),NA())</f>
        <v>4.5900000000000003E-2</v>
      </c>
      <c r="E121" s="2"/>
      <c r="F121" s="2"/>
      <c r="G121" s="2">
        <f>IFERROR(IF($B$3="All",IF($E$3="2024",WHR_Comparison_2024_vs_2025!C37,WHR_Comparison_2024_vs_2025!J37),IF(WHR_Comparison_2024_vs_2025!A37=$B$3,IF($E$3="2024",WHR_Comparison_2024_vs_2025!C37,WHR_Comparison_2024_vs_2025!J37),NA())),NA())</f>
        <v>1.82693207263946</v>
      </c>
      <c r="H121" s="2">
        <f>IFERROR(IF($B$3="All",IF($E$3="2024",WHR_Comparison_2024_vs_2025!B37,WHR_Comparison_2024_vs_2025!I37),IF(WHR_Comparison_2024_vs_2025!A37=$B$3,IF($E$3="2024",WHR_Comparison_2024_vs_2025!B37,WHR_Comparison_2024_vs_2025!I37),NA())),NA())</f>
        <v>6.3457999229431099</v>
      </c>
      <c r="I121" s="2">
        <f>IFERROR(IF($B$3="All",IF($E$3="2024",WHR_Comparison_2024_vs_2025!F37,WHR_Comparison_2024_vs_2025!M37),IF(WHR_Comparison_2024_vs_2025!A37=$B$3,IF($E$3="2024",WHR_Comparison_2024_vs_2025!F37,WHR_Comparison_2024_vs_2025!M37),NA())),NA())</f>
        <v>0.72701311111450195</v>
      </c>
      <c r="J121" s="33">
        <f>IFERROR(IF($B$3="All",IF($E$3="2024",WHR_Comparison_2024_vs_2025!B37,WHR_Comparison_2024_vs_2025!I37),IF(WHR_Comparison_2024_vs_2025!A37=$B$3,IF($E$3="2024",WHR_Comparison_2024_vs_2025!B37,WHR_Comparison_2024_vs_2025!I37),NA())),NA())</f>
        <v>6.3457999229431099</v>
      </c>
    </row>
    <row r="122" spans="1:10" x14ac:dyDescent="0.3">
      <c r="A122" s="32" t="str">
        <f>IF($B$3="All",WHR_Comparison_2024_vs_2025!A38,IF(WHR_Comparison_2024_vs_2025!A38=$B$3,WHR_Comparison_2024_vs_2025!A38,NA()))</f>
        <v>Panama</v>
      </c>
      <c r="B122" s="2">
        <f>IFERROR(IF($B$3="All",WHR_Comparison_2024_vs_2025!B38,IF(WHR_Comparison_2024_vs_2025!A38=$B$3,WHR_Comparison_2024_vs_2025!B38,NA())),NA())</f>
        <v>6.2645001411437899</v>
      </c>
      <c r="C122" s="2">
        <f>IFERROR(IF($B$3="All",WHR_Comparison_2024_vs_2025!I38,IF(WHR_Comparison_2024_vs_2025!A38=$B$3,WHR_Comparison_2024_vs_2025!I38,NA())),NA())</f>
        <v>6.3582000732421804</v>
      </c>
      <c r="D122" s="2">
        <f>IFERROR(IF($B$3="All",WHR_Comparison_2024_vs_2025!P38,IF(WHR_Comparison_2024_vs_2025!A38=$B$3,WHR_Comparison_2024_vs_2025!P38,NA())),NA())</f>
        <v>9.3700000000000006E-2</v>
      </c>
      <c r="E122" s="2"/>
      <c r="F122" s="2"/>
      <c r="G122" s="2">
        <f>IFERROR(IF($B$3="All",IF($E$3="2024",WHR_Comparison_2024_vs_2025!C38,WHR_Comparison_2024_vs_2025!J38),IF(WHR_Comparison_2024_vs_2025!A38=$B$3,IF($E$3="2024",WHR_Comparison_2024_vs_2025!C38,WHR_Comparison_2024_vs_2025!J38),NA())),NA())</f>
        <v>1.70171606540679</v>
      </c>
      <c r="H122" s="2">
        <f>IFERROR(IF($B$3="All",IF($E$3="2024",WHR_Comparison_2024_vs_2025!B38,WHR_Comparison_2024_vs_2025!I38),IF(WHR_Comparison_2024_vs_2025!A38=$B$3,IF($E$3="2024",WHR_Comparison_2024_vs_2025!B38,WHR_Comparison_2024_vs_2025!I38),NA())),NA())</f>
        <v>6.3582000732421804</v>
      </c>
      <c r="I122" s="2">
        <f>IFERROR(IF($B$3="All",IF($E$3="2024",WHR_Comparison_2024_vs_2025!F38,WHR_Comparison_2024_vs_2025!M38),IF(WHR_Comparison_2024_vs_2025!A38=$B$3,IF($E$3="2024",WHR_Comparison_2024_vs_2025!F38,WHR_Comparison_2024_vs_2025!M38),NA())),NA())</f>
        <v>0.71992337703704801</v>
      </c>
      <c r="J122" s="33">
        <f>IFERROR(IF($B$3="All",IF($E$3="2024",WHR_Comparison_2024_vs_2025!B38,WHR_Comparison_2024_vs_2025!I38),IF(WHR_Comparison_2024_vs_2025!A38=$B$3,IF($E$3="2024",WHR_Comparison_2024_vs_2025!B38,WHR_Comparison_2024_vs_2025!I38),NA())),NA())</f>
        <v>6.3582000732421804</v>
      </c>
    </row>
    <row r="123" spans="1:10" x14ac:dyDescent="0.3">
      <c r="A123" s="32" t="str">
        <f>IF($B$3="All",WHR_Comparison_2024_vs_2025!A39,IF(WHR_Comparison_2024_vs_2025!A39=$B$3,WHR_Comparison_2024_vs_2025!A39,NA()))</f>
        <v>Poland</v>
      </c>
      <c r="B123" s="2">
        <f>IFERROR(IF($B$3="All",WHR_Comparison_2024_vs_2025!B39,IF(WHR_Comparison_2024_vs_2025!A39=$B$3,WHR_Comparison_2024_vs_2025!B39,NA())),NA())</f>
        <v>6.25969982147216</v>
      </c>
      <c r="C123" s="2">
        <f>IFERROR(IF($B$3="All",WHR_Comparison_2024_vs_2025!I39,IF(WHR_Comparison_2024_vs_2025!A39=$B$3,WHR_Comparison_2024_vs_2025!I39,NA())),NA())</f>
        <v>6.4415001869201598</v>
      </c>
      <c r="D123" s="2">
        <f>IFERROR(IF($B$3="All",WHR_Comparison_2024_vs_2025!P39,IF(WHR_Comparison_2024_vs_2025!A39=$B$3,WHR_Comparison_2024_vs_2025!P39,NA())),NA())</f>
        <v>0.18179999999999999</v>
      </c>
      <c r="E123" s="2"/>
      <c r="F123" s="2"/>
      <c r="G123" s="2">
        <f>IFERROR(IF($B$3="All",IF($E$3="2024",WHR_Comparison_2024_vs_2025!C39,WHR_Comparison_2024_vs_2025!J39),IF(WHR_Comparison_2024_vs_2025!A39=$B$3,IF($E$3="2024",WHR_Comparison_2024_vs_2025!C39,WHR_Comparison_2024_vs_2025!J39),NA())),NA())</f>
        <v>1.73770380020141</v>
      </c>
      <c r="H123" s="2">
        <f>IFERROR(IF($B$3="All",IF($E$3="2024",WHR_Comparison_2024_vs_2025!B39,WHR_Comparison_2024_vs_2025!I39),IF(WHR_Comparison_2024_vs_2025!A39=$B$3,IF($E$3="2024",WHR_Comparison_2024_vs_2025!B39,WHR_Comparison_2024_vs_2025!I39),NA())),NA())</f>
        <v>6.4415001869201598</v>
      </c>
      <c r="I123" s="2">
        <f>IFERROR(IF($B$3="All",IF($E$3="2024",WHR_Comparison_2024_vs_2025!F39,WHR_Comparison_2024_vs_2025!M39),IF(WHR_Comparison_2024_vs_2025!A39=$B$3,IF($E$3="2024",WHR_Comparison_2024_vs_2025!F39,WHR_Comparison_2024_vs_2025!M39),NA())),NA())</f>
        <v>0.60003972053527799</v>
      </c>
      <c r="J123" s="33">
        <f>IFERROR(IF($B$3="All",IF($E$3="2024",WHR_Comparison_2024_vs_2025!B39,WHR_Comparison_2024_vs_2025!I39),IF(WHR_Comparison_2024_vs_2025!A39=$B$3,IF($E$3="2024",WHR_Comparison_2024_vs_2025!B39,WHR_Comparison_2024_vs_2025!I39),NA())),NA())</f>
        <v>6.4415001869201598</v>
      </c>
    </row>
    <row r="124" spans="1:10" x14ac:dyDescent="0.3">
      <c r="A124" s="32" t="str">
        <f>IF($B$3="All",WHR_Comparison_2024_vs_2025!A40,IF(WHR_Comparison_2024_vs_2025!A40=$B$3,WHR_Comparison_2024_vs_2025!A40,NA()))</f>
        <v>Latvia</v>
      </c>
      <c r="B124" s="2">
        <f>IFERROR(IF($B$3="All",WHR_Comparison_2024_vs_2025!B40,IF(WHR_Comparison_2024_vs_2025!A40=$B$3,WHR_Comparison_2024_vs_2025!B40,NA())),NA())</f>
        <v>6.2126998901367099</v>
      </c>
      <c r="C124" s="2">
        <f>IFERROR(IF($B$3="All",WHR_Comparison_2024_vs_2025!I40,IF(WHR_Comparison_2024_vs_2025!A40=$B$3,WHR_Comparison_2024_vs_2025!I40,NA())),NA())</f>
        <v>6.2344999313354403</v>
      </c>
      <c r="D124" s="2">
        <f>IFERROR(IF($B$3="All",WHR_Comparison_2024_vs_2025!P40,IF(WHR_Comparison_2024_vs_2025!A40=$B$3,WHR_Comparison_2024_vs_2025!P40,NA())),NA())</f>
        <v>2.18E-2</v>
      </c>
      <c r="E124" s="2"/>
      <c r="F124" s="2"/>
      <c r="G124" s="2">
        <f>IFERROR(IF($B$3="All",IF($E$3="2024",WHR_Comparison_2024_vs_2025!C40,WHR_Comparison_2024_vs_2025!J40),IF(WHR_Comparison_2024_vs_2025!A40=$B$3,IF($E$3="2024",WHR_Comparison_2024_vs_2025!C40,WHR_Comparison_2024_vs_2025!J40),NA())),NA())</f>
        <v>1.70029425621032</v>
      </c>
      <c r="H124" s="2">
        <f>IFERROR(IF($B$3="All",IF($E$3="2024",WHR_Comparison_2024_vs_2025!B40,WHR_Comparison_2024_vs_2025!I40),IF(WHR_Comparison_2024_vs_2025!A40=$B$3,IF($E$3="2024",WHR_Comparison_2024_vs_2025!B40,WHR_Comparison_2024_vs_2025!I40),NA())),NA())</f>
        <v>6.2344999313354403</v>
      </c>
      <c r="I124" s="2">
        <f>IFERROR(IF($B$3="All",IF($E$3="2024",WHR_Comparison_2024_vs_2025!F40,WHR_Comparison_2024_vs_2025!M40),IF(WHR_Comparison_2024_vs_2025!A40=$B$3,IF($E$3="2024",WHR_Comparison_2024_vs_2025!F40,WHR_Comparison_2024_vs_2025!M40),NA())),NA())</f>
        <v>0.66628980636596602</v>
      </c>
      <c r="J124" s="33">
        <f>IFERROR(IF($B$3="All",IF($E$3="2024",WHR_Comparison_2024_vs_2025!B40,WHR_Comparison_2024_vs_2025!I40),IF(WHR_Comparison_2024_vs_2025!A40=$B$3,IF($E$3="2024",WHR_Comparison_2024_vs_2025!B40,WHR_Comparison_2024_vs_2025!I40),NA())),NA())</f>
        <v>6.2344999313354403</v>
      </c>
    </row>
    <row r="125" spans="1:10" x14ac:dyDescent="0.3">
      <c r="A125" s="32" t="str">
        <f>IF($B$3="All",WHR_Comparison_2024_vs_2025!A41,IF(WHR_Comparison_2024_vs_2025!A41=$B$3,WHR_Comparison_2024_vs_2025!A41,NA()))</f>
        <v>Bahrain</v>
      </c>
      <c r="B125" s="2">
        <f>IFERROR(IF($B$3="All",WHR_Comparison_2024_vs_2025!B41,IF(WHR_Comparison_2024_vs_2025!A41=$B$3,WHR_Comparison_2024_vs_2025!B41,NA())),NA())</f>
        <v>6.1732001304626403</v>
      </c>
      <c r="C125" s="2">
        <f>IFERROR(IF($B$3="All",WHR_Comparison_2024_vs_2025!I41,IF(WHR_Comparison_2024_vs_2025!A41=$B$3,WHR_Comparison_2024_vs_2025!I41,NA())),NA())</f>
        <v>5.9590997695922798</v>
      </c>
      <c r="D125" s="2">
        <f>IFERROR(IF($B$3="All",WHR_Comparison_2024_vs_2025!P41,IF(WHR_Comparison_2024_vs_2025!A41=$B$3,WHR_Comparison_2024_vs_2025!P41,NA())),NA())</f>
        <v>-0.21410000000000001</v>
      </c>
      <c r="E125" s="2"/>
      <c r="F125" s="2"/>
      <c r="G125" s="2">
        <f>IFERROR(IF($B$3="All",IF($E$3="2024",WHR_Comparison_2024_vs_2025!C41,WHR_Comparison_2024_vs_2025!J41),IF(WHR_Comparison_2024_vs_2025!A41=$B$3,IF($E$3="2024",WHR_Comparison_2024_vs_2025!C41,WHR_Comparison_2024_vs_2025!J41),NA())),NA())</f>
        <v>0</v>
      </c>
      <c r="H125" s="2">
        <f>IFERROR(IF($B$3="All",IF($E$3="2024",WHR_Comparison_2024_vs_2025!B41,WHR_Comparison_2024_vs_2025!I41),IF(WHR_Comparison_2024_vs_2025!A41=$B$3,IF($E$3="2024",WHR_Comparison_2024_vs_2025!B41,WHR_Comparison_2024_vs_2025!I41),NA())),NA())</f>
        <v>5.9590997695922798</v>
      </c>
      <c r="I125" s="2">
        <f>IFERROR(IF($B$3="All",IF($E$3="2024",WHR_Comparison_2024_vs_2025!F41,WHR_Comparison_2024_vs_2025!M41),IF(WHR_Comparison_2024_vs_2025!A41=$B$3,IF($E$3="2024",WHR_Comparison_2024_vs_2025!F41,WHR_Comparison_2024_vs_2025!M41),NA())),NA())</f>
        <v>0</v>
      </c>
      <c r="J125" s="33">
        <f>IFERROR(IF($B$3="All",IF($E$3="2024",WHR_Comparison_2024_vs_2025!B41,WHR_Comparison_2024_vs_2025!I41),IF(WHR_Comparison_2024_vs_2025!A41=$B$3,IF($E$3="2024",WHR_Comparison_2024_vs_2025!B41,WHR_Comparison_2024_vs_2025!I41),NA())),NA())</f>
        <v>5.9590997695922798</v>
      </c>
    </row>
    <row r="126" spans="1:10" x14ac:dyDescent="0.3">
      <c r="A126" s="32" t="str">
        <f>IF($B$3="All",WHR_Comparison_2024_vs_2025!A42,IF(WHR_Comparison_2024_vs_2025!A42=$B$3,WHR_Comparison_2024_vs_2025!A42,NA()))</f>
        <v>Guatemala</v>
      </c>
      <c r="B126" s="2">
        <f>IFERROR(IF($B$3="All",WHR_Comparison_2024_vs_2025!B42,IF(WHR_Comparison_2024_vs_2025!A42=$B$3,WHR_Comparison_2024_vs_2025!B42,NA())),NA())</f>
        <v>6.1503000259399396</v>
      </c>
      <c r="C126" s="2">
        <f>IFERROR(IF($B$3="All",WHR_Comparison_2024_vs_2025!I42,IF(WHR_Comparison_2024_vs_2025!A42=$B$3,WHR_Comparison_2024_vs_2025!I42,NA())),NA())</f>
        <v>6.2870001792907697</v>
      </c>
      <c r="D126" s="2">
        <f>IFERROR(IF($B$3="All",WHR_Comparison_2024_vs_2025!P42,IF(WHR_Comparison_2024_vs_2025!A42=$B$3,WHR_Comparison_2024_vs_2025!P42,NA())),NA())</f>
        <v>0.13669999999999999</v>
      </c>
      <c r="E126" s="2"/>
      <c r="F126" s="2"/>
      <c r="G126" s="2">
        <f>IFERROR(IF($B$3="All",IF($E$3="2024",WHR_Comparison_2024_vs_2025!C42,WHR_Comparison_2024_vs_2025!J42),IF(WHR_Comparison_2024_vs_2025!A42=$B$3,IF($E$3="2024",WHR_Comparison_2024_vs_2025!C42,WHR_Comparison_2024_vs_2025!J42),NA())),NA())</f>
        <v>1.2595252990722601</v>
      </c>
      <c r="H126" s="2">
        <f>IFERROR(IF($B$3="All",IF($E$3="2024",WHR_Comparison_2024_vs_2025!B42,WHR_Comparison_2024_vs_2025!I42),IF(WHR_Comparison_2024_vs_2025!A42=$B$3,IF($E$3="2024",WHR_Comparison_2024_vs_2025!B42,WHR_Comparison_2024_vs_2025!I42),NA())),NA())</f>
        <v>6.2870001792907697</v>
      </c>
      <c r="I126" s="2">
        <f>IFERROR(IF($B$3="All",IF($E$3="2024",WHR_Comparison_2024_vs_2025!F42,WHR_Comparison_2024_vs_2025!M42),IF(WHR_Comparison_2024_vs_2025!A42=$B$3,IF($E$3="2024",WHR_Comparison_2024_vs_2025!F42,WHR_Comparison_2024_vs_2025!M42),NA())),NA())</f>
        <v>0.73530352115631104</v>
      </c>
      <c r="J126" s="33">
        <f>IFERROR(IF($B$3="All",IF($E$3="2024",WHR_Comparison_2024_vs_2025!B42,WHR_Comparison_2024_vs_2025!I42),IF(WHR_Comparison_2024_vs_2025!A42=$B$3,IF($E$3="2024",WHR_Comparison_2024_vs_2025!B42,WHR_Comparison_2024_vs_2025!I42),NA())),NA())</f>
        <v>6.2870001792907697</v>
      </c>
    </row>
    <row r="127" spans="1:10" x14ac:dyDescent="0.3">
      <c r="A127" s="32" t="str">
        <f>IF($B$3="All",WHR_Comparison_2024_vs_2025!A43,IF(WHR_Comparison_2024_vs_2025!A43=$B$3,WHR_Comparison_2024_vs_2025!A43,NA()))</f>
        <v>Kazakhstan</v>
      </c>
      <c r="B127" s="2">
        <f>IFERROR(IF($B$3="All",WHR_Comparison_2024_vs_2025!B43,IF(WHR_Comparison_2024_vs_2025!A43=$B$3,WHR_Comparison_2024_vs_2025!B43,NA())),NA())</f>
        <v>6.1438999176025302</v>
      </c>
      <c r="C127" s="2">
        <f>IFERROR(IF($B$3="All",WHR_Comparison_2024_vs_2025!I43,IF(WHR_Comparison_2024_vs_2025!A43=$B$3,WHR_Comparison_2024_vs_2025!I43,NA())),NA())</f>
        <v>6.1875</v>
      </c>
      <c r="D127" s="2">
        <f>IFERROR(IF($B$3="All",WHR_Comparison_2024_vs_2025!P43,IF(WHR_Comparison_2024_vs_2025!A43=$B$3,WHR_Comparison_2024_vs_2025!P43,NA())),NA())</f>
        <v>4.36E-2</v>
      </c>
      <c r="E127" s="2"/>
      <c r="F127" s="2"/>
      <c r="G127" s="2">
        <f>IFERROR(IF($B$3="All",IF($E$3="2024",WHR_Comparison_2024_vs_2025!C43,WHR_Comparison_2024_vs_2025!J43),IF(WHR_Comparison_2024_vs_2025!A43=$B$3,IF($E$3="2024",WHR_Comparison_2024_vs_2025!C43,WHR_Comparison_2024_vs_2025!J43),NA())),NA())</f>
        <v>1.6224950551986601</v>
      </c>
      <c r="H127" s="2">
        <f>IFERROR(IF($B$3="All",IF($E$3="2024",WHR_Comparison_2024_vs_2025!B43,WHR_Comparison_2024_vs_2025!I43),IF(WHR_Comparison_2024_vs_2025!A43=$B$3,IF($E$3="2024",WHR_Comparison_2024_vs_2025!B43,WHR_Comparison_2024_vs_2025!I43),NA())),NA())</f>
        <v>6.1875</v>
      </c>
      <c r="I127" s="2">
        <f>IFERROR(IF($B$3="All",IF($E$3="2024",WHR_Comparison_2024_vs_2025!F43,WHR_Comparison_2024_vs_2025!M43),IF(WHR_Comparison_2024_vs_2025!A43=$B$3,IF($E$3="2024",WHR_Comparison_2024_vs_2025!F43,WHR_Comparison_2024_vs_2025!M43),NA())),NA())</f>
        <v>0.73258322477340698</v>
      </c>
      <c r="J127" s="33">
        <f>IFERROR(IF($B$3="All",IF($E$3="2024",WHR_Comparison_2024_vs_2025!B43,WHR_Comparison_2024_vs_2025!I43),IF(WHR_Comparison_2024_vs_2025!A43=$B$3,IF($E$3="2024",WHR_Comparison_2024_vs_2025!B43,WHR_Comparison_2024_vs_2025!I43),NA())),NA())</f>
        <v>6.1875</v>
      </c>
    </row>
    <row r="128" spans="1:10" x14ac:dyDescent="0.3">
      <c r="A128" s="32" t="str">
        <f>IF($B$3="All",WHR_Comparison_2024_vs_2025!A44,IF(WHR_Comparison_2024_vs_2025!A44=$B$3,WHR_Comparison_2024_vs_2025!A44,NA()))</f>
        <v>Serbia</v>
      </c>
      <c r="B128" s="2">
        <f>IFERROR(IF($B$3="All",WHR_Comparison_2024_vs_2025!B44,IF(WHR_Comparison_2024_vs_2025!A44=$B$3,WHR_Comparison_2024_vs_2025!B44,NA())),NA())</f>
        <v>6.1435999870300204</v>
      </c>
      <c r="C128" s="2">
        <f>IFERROR(IF($B$3="All",WHR_Comparison_2024_vs_2025!I44,IF(WHR_Comparison_2024_vs_2025!A44=$B$3,WHR_Comparison_2024_vs_2025!I44,NA())),NA())</f>
        <v>6.4107999801635698</v>
      </c>
      <c r="D128" s="2">
        <f>IFERROR(IF($B$3="All",WHR_Comparison_2024_vs_2025!P44,IF(WHR_Comparison_2024_vs_2025!A44=$B$3,WHR_Comparison_2024_vs_2025!P44,NA())),NA())</f>
        <v>0.26719999999999999</v>
      </c>
      <c r="E128" s="2"/>
      <c r="F128" s="2"/>
      <c r="G128" s="2">
        <f>IFERROR(IF($B$3="All",IF($E$3="2024",WHR_Comparison_2024_vs_2025!C44,WHR_Comparison_2024_vs_2025!J44),IF(WHR_Comparison_2024_vs_2025!A44=$B$3,IF($E$3="2024",WHR_Comparison_2024_vs_2025!C44,WHR_Comparison_2024_vs_2025!J44),NA())),NA())</f>
        <v>1.53782451152801</v>
      </c>
      <c r="H128" s="2">
        <f>IFERROR(IF($B$3="All",IF($E$3="2024",WHR_Comparison_2024_vs_2025!B44,WHR_Comparison_2024_vs_2025!I44),IF(WHR_Comparison_2024_vs_2025!A44=$B$3,IF($E$3="2024",WHR_Comparison_2024_vs_2025!B44,WHR_Comparison_2024_vs_2025!I44),NA())),NA())</f>
        <v>6.4107999801635698</v>
      </c>
      <c r="I128" s="2">
        <f>IFERROR(IF($B$3="All",IF($E$3="2024",WHR_Comparison_2024_vs_2025!F44,WHR_Comparison_2024_vs_2025!M44),IF(WHR_Comparison_2024_vs_2025!A44=$B$3,IF($E$3="2024",WHR_Comparison_2024_vs_2025!F44,WHR_Comparison_2024_vs_2025!M44),NA())),NA())</f>
        <v>0.66322684288024902</v>
      </c>
      <c r="J128" s="33">
        <f>IFERROR(IF($B$3="All",IF($E$3="2024",WHR_Comparison_2024_vs_2025!B44,WHR_Comparison_2024_vs_2025!I44),IF(WHR_Comparison_2024_vs_2025!A44=$B$3,IF($E$3="2024",WHR_Comparison_2024_vs_2025!B44,WHR_Comparison_2024_vs_2025!I44),NA())),NA())</f>
        <v>6.4107999801635698</v>
      </c>
    </row>
    <row r="129" spans="1:10" x14ac:dyDescent="0.3">
      <c r="A129" s="32" t="str">
        <f>IF($B$3="All",WHR_Comparison_2024_vs_2025!A45,IF(WHR_Comparison_2024_vs_2025!A45=$B$3,WHR_Comparison_2024_vs_2025!A45,NA()))</f>
        <v>Cyprus</v>
      </c>
      <c r="B129" s="2">
        <f>IFERROR(IF($B$3="All",WHR_Comparison_2024_vs_2025!B45,IF(WHR_Comparison_2024_vs_2025!A45=$B$3,WHR_Comparison_2024_vs_2025!B45,NA())),NA())</f>
        <v>6.13000011444091</v>
      </c>
      <c r="C129" s="2">
        <f>IFERROR(IF($B$3="All",WHR_Comparison_2024_vs_2025!I45,IF(WHR_Comparison_2024_vs_2025!A45=$B$3,WHR_Comparison_2024_vs_2025!I45,NA())),NA())</f>
        <v>6.0680999755859304</v>
      </c>
      <c r="D129" s="2">
        <f>IFERROR(IF($B$3="All",WHR_Comparison_2024_vs_2025!P45,IF(WHR_Comparison_2024_vs_2025!A45=$B$3,WHR_Comparison_2024_vs_2025!P45,NA())),NA())</f>
        <v>-6.1899999999999997E-2</v>
      </c>
      <c r="E129" s="2"/>
      <c r="F129" s="2"/>
      <c r="G129" s="2">
        <f>IFERROR(IF($B$3="All",IF($E$3="2024",WHR_Comparison_2024_vs_2025!C45,WHR_Comparison_2024_vs_2025!J45),IF(WHR_Comparison_2024_vs_2025!A45=$B$3,IF($E$3="2024",WHR_Comparison_2024_vs_2025!C45,WHR_Comparison_2024_vs_2025!J45),NA())),NA())</f>
        <v>1.7937989234924301</v>
      </c>
      <c r="H129" s="2">
        <f>IFERROR(IF($B$3="All",IF($E$3="2024",WHR_Comparison_2024_vs_2025!B45,WHR_Comparison_2024_vs_2025!I45),IF(WHR_Comparison_2024_vs_2025!A45=$B$3,IF($E$3="2024",WHR_Comparison_2024_vs_2025!B45,WHR_Comparison_2024_vs_2025!I45),NA())),NA())</f>
        <v>6.0680999755859304</v>
      </c>
      <c r="I129" s="2">
        <f>IFERROR(IF($B$3="All",IF($E$3="2024",WHR_Comparison_2024_vs_2025!F45,WHR_Comparison_2024_vs_2025!M45),IF(WHR_Comparison_2024_vs_2025!A45=$B$3,IF($E$3="2024",WHR_Comparison_2024_vs_2025!F45,WHR_Comparison_2024_vs_2025!M45),NA())),NA())</f>
        <v>0.52878993749618497</v>
      </c>
      <c r="J129" s="33">
        <f>IFERROR(IF($B$3="All",IF($E$3="2024",WHR_Comparison_2024_vs_2025!B45,WHR_Comparison_2024_vs_2025!I45),IF(WHR_Comparison_2024_vs_2025!A45=$B$3,IF($E$3="2024",WHR_Comparison_2024_vs_2025!B45,WHR_Comparison_2024_vs_2025!I45),NA())),NA())</f>
        <v>6.0680999755859304</v>
      </c>
    </row>
    <row r="130" spans="1:10" x14ac:dyDescent="0.3">
      <c r="A130" s="32" t="str">
        <f>IF($B$3="All",WHR_Comparison_2024_vs_2025!A46,IF(WHR_Comparison_2024_vs_2025!A46=$B$3,WHR_Comparison_2024_vs_2025!A46,NA()))</f>
        <v>Japan</v>
      </c>
      <c r="B130" s="2">
        <f>IFERROR(IF($B$3="All",WHR_Comparison_2024_vs_2025!B46,IF(WHR_Comparison_2024_vs_2025!A46=$B$3,WHR_Comparison_2024_vs_2025!B46,NA())),NA())</f>
        <v>6.1290001869201598</v>
      </c>
      <c r="C130" s="2">
        <f>IFERROR(IF($B$3="All",WHR_Comparison_2024_vs_2025!I46,IF(WHR_Comparison_2024_vs_2025!A46=$B$3,WHR_Comparison_2024_vs_2025!I46,NA())),NA())</f>
        <v>6.0598001480102504</v>
      </c>
      <c r="D130" s="2">
        <f>IFERROR(IF($B$3="All",WHR_Comparison_2024_vs_2025!P46,IF(WHR_Comparison_2024_vs_2025!A46=$B$3,WHR_Comparison_2024_vs_2025!P46,NA())),NA())</f>
        <v>-6.9199999999999998E-2</v>
      </c>
      <c r="E130" s="2"/>
      <c r="F130" s="2"/>
      <c r="G130" s="2">
        <f>IFERROR(IF($B$3="All",IF($E$3="2024",WHR_Comparison_2024_vs_2025!C46,WHR_Comparison_2024_vs_2025!J46),IF(WHR_Comparison_2024_vs_2025!A46=$B$3,IF($E$3="2024",WHR_Comparison_2024_vs_2025!C46,WHR_Comparison_2024_vs_2025!J46),NA())),NA())</f>
        <v>1.78572118282318</v>
      </c>
      <c r="H130" s="2">
        <f>IFERROR(IF($B$3="All",IF($E$3="2024",WHR_Comparison_2024_vs_2025!B46,WHR_Comparison_2024_vs_2025!I46),IF(WHR_Comparison_2024_vs_2025!A46=$B$3,IF($E$3="2024",WHR_Comparison_2024_vs_2025!B46,WHR_Comparison_2024_vs_2025!I46),NA())),NA())</f>
        <v>6.0598001480102504</v>
      </c>
      <c r="I130" s="2">
        <f>IFERROR(IF($B$3="All",IF($E$3="2024",WHR_Comparison_2024_vs_2025!F46,WHR_Comparison_2024_vs_2025!M46),IF(WHR_Comparison_2024_vs_2025!A46=$B$3,IF($E$3="2024",WHR_Comparison_2024_vs_2025!F46,WHR_Comparison_2024_vs_2025!M46),NA())),NA())</f>
        <v>0.63151836395263605</v>
      </c>
      <c r="J130" s="33">
        <f>IFERROR(IF($B$3="All",IF($E$3="2024",WHR_Comparison_2024_vs_2025!B46,WHR_Comparison_2024_vs_2025!I46),IF(WHR_Comparison_2024_vs_2025!A46=$B$3,IF($E$3="2024",WHR_Comparison_2024_vs_2025!B46,WHR_Comparison_2024_vs_2025!I46),NA())),NA())</f>
        <v>6.0598001480102504</v>
      </c>
    </row>
    <row r="131" spans="1:10" x14ac:dyDescent="0.3">
      <c r="A131" s="32" t="str">
        <f>IF($B$3="All",WHR_Comparison_2024_vs_2025!A47,IF(WHR_Comparison_2024_vs_2025!A47=$B$3,WHR_Comparison_2024_vs_2025!A47,NA()))</f>
        <v>Croatia</v>
      </c>
      <c r="B131" s="2">
        <f>IFERROR(IF($B$3="All",WHR_Comparison_2024_vs_2025!B47,IF(WHR_Comparison_2024_vs_2025!A47=$B$3,WHR_Comparison_2024_vs_2025!B47,NA())),NA())</f>
        <v>6.125</v>
      </c>
      <c r="C131" s="2">
        <f>IFERROR(IF($B$3="All",WHR_Comparison_2024_vs_2025!I47,IF(WHR_Comparison_2024_vs_2025!A47=$B$3,WHR_Comparison_2024_vs_2025!I47,NA())),NA())</f>
        <v>5.94229984283447</v>
      </c>
      <c r="D131" s="2">
        <f>IFERROR(IF($B$3="All",WHR_Comparison_2024_vs_2025!P47,IF(WHR_Comparison_2024_vs_2025!A47=$B$3,WHR_Comparison_2024_vs_2025!P47,NA())),NA())</f>
        <v>-0.1827</v>
      </c>
      <c r="E131" s="2"/>
      <c r="F131" s="2"/>
      <c r="G131" s="2">
        <f>IFERROR(IF($B$3="All",IF($E$3="2024",WHR_Comparison_2024_vs_2025!C47,WHR_Comparison_2024_vs_2025!J47),IF(WHR_Comparison_2024_vs_2025!A47=$B$3,IF($E$3="2024",WHR_Comparison_2024_vs_2025!C47,WHR_Comparison_2024_vs_2025!J47),NA())),NA())</f>
        <v>1.7100956439971899</v>
      </c>
      <c r="H131" s="2">
        <f>IFERROR(IF($B$3="All",IF($E$3="2024",WHR_Comparison_2024_vs_2025!B47,WHR_Comparison_2024_vs_2025!I47),IF(WHR_Comparison_2024_vs_2025!A47=$B$3,IF($E$3="2024",WHR_Comparison_2024_vs_2025!B47,WHR_Comparison_2024_vs_2025!I47),NA())),NA())</f>
        <v>5.94229984283447</v>
      </c>
      <c r="I131" s="2">
        <f>IFERROR(IF($B$3="All",IF($E$3="2024",WHR_Comparison_2024_vs_2025!F47,WHR_Comparison_2024_vs_2025!M47),IF(WHR_Comparison_2024_vs_2025!A47=$B$3,IF($E$3="2024",WHR_Comparison_2024_vs_2025!F47,WHR_Comparison_2024_vs_2025!M47),NA())),NA())</f>
        <v>0.46918749809265098</v>
      </c>
      <c r="J131" s="33">
        <f>IFERROR(IF($B$3="All",IF($E$3="2024",WHR_Comparison_2024_vs_2025!B47,WHR_Comparison_2024_vs_2025!I47),IF(WHR_Comparison_2024_vs_2025!A47=$B$3,IF($E$3="2024",WHR_Comparison_2024_vs_2025!B47,WHR_Comparison_2024_vs_2025!I47),NA())),NA())</f>
        <v>5.94229984283447</v>
      </c>
    </row>
    <row r="132" spans="1:10" x14ac:dyDescent="0.3">
      <c r="A132" s="32" t="str">
        <f>IF($B$3="All",WHR_Comparison_2024_vs_2025!A48,IF(WHR_Comparison_2024_vs_2025!A48=$B$3,WHR_Comparison_2024_vs_2025!A48,NA()))</f>
        <v>Brazil</v>
      </c>
      <c r="B132" s="2">
        <f>IFERROR(IF($B$3="All",WHR_Comparison_2024_vs_2025!B48,IF(WHR_Comparison_2024_vs_2025!A48=$B$3,WHR_Comparison_2024_vs_2025!B48,NA())),NA())</f>
        <v>6.1245999336242596</v>
      </c>
      <c r="C132" s="2">
        <f>IFERROR(IF($B$3="All",WHR_Comparison_2024_vs_2025!I48,IF(WHR_Comparison_2024_vs_2025!A48=$B$3,WHR_Comparison_2024_vs_2025!I48,NA())),NA())</f>
        <v>6.2719998359680096</v>
      </c>
      <c r="D132" s="2">
        <f>IFERROR(IF($B$3="All",WHR_Comparison_2024_vs_2025!P48,IF(WHR_Comparison_2024_vs_2025!A48=$B$3,WHR_Comparison_2024_vs_2025!P48,NA())),NA())</f>
        <v>0.1474</v>
      </c>
      <c r="E132" s="2"/>
      <c r="F132" s="2"/>
      <c r="G132" s="2">
        <f>IFERROR(IF($B$3="All",IF($E$3="2024",WHR_Comparison_2024_vs_2025!C48,WHR_Comparison_2024_vs_2025!J48),IF(WHR_Comparison_2024_vs_2025!A48=$B$3,IF($E$3="2024",WHR_Comparison_2024_vs_2025!C48,WHR_Comparison_2024_vs_2025!J48),NA())),NA())</f>
        <v>1.42952585220336</v>
      </c>
      <c r="H132" s="2">
        <f>IFERROR(IF($B$3="All",IF($E$3="2024",WHR_Comparison_2024_vs_2025!B48,WHR_Comparison_2024_vs_2025!I48),IF(WHR_Comparison_2024_vs_2025!A48=$B$3,IF($E$3="2024",WHR_Comparison_2024_vs_2025!B48,WHR_Comparison_2024_vs_2025!I48),NA())),NA())</f>
        <v>6.2719998359680096</v>
      </c>
      <c r="I132" s="2">
        <f>IFERROR(IF($B$3="All",IF($E$3="2024",WHR_Comparison_2024_vs_2025!F48,WHR_Comparison_2024_vs_2025!M48),IF(WHR_Comparison_2024_vs_2025!A48=$B$3,IF($E$3="2024",WHR_Comparison_2024_vs_2025!F48,WHR_Comparison_2024_vs_2025!M48),NA())),NA())</f>
        <v>0.68522375822067205</v>
      </c>
      <c r="J132" s="33">
        <f>IFERROR(IF($B$3="All",IF($E$3="2024",WHR_Comparison_2024_vs_2025!B48,WHR_Comparison_2024_vs_2025!I48),IF(WHR_Comparison_2024_vs_2025!A48=$B$3,IF($E$3="2024",WHR_Comparison_2024_vs_2025!B48,WHR_Comparison_2024_vs_2025!I48),NA())),NA())</f>
        <v>6.2719998359680096</v>
      </c>
    </row>
    <row r="133" spans="1:10" x14ac:dyDescent="0.3">
      <c r="A133" s="32" t="str">
        <f>IF($B$3="All",WHR_Comparison_2024_vs_2025!A49,IF(WHR_Comparison_2024_vs_2025!A49=$B$3,WHR_Comparison_2024_vs_2025!A49,NA()))</f>
        <v>El Salvador</v>
      </c>
      <c r="B133" s="2">
        <f>IFERROR(IF($B$3="All",WHR_Comparison_2024_vs_2025!B49,IF(WHR_Comparison_2024_vs_2025!A49=$B$3,WHR_Comparison_2024_vs_2025!B49,NA())),NA())</f>
        <v>6.1216001510620099</v>
      </c>
      <c r="C133" s="2">
        <f>IFERROR(IF($B$3="All",WHR_Comparison_2024_vs_2025!I49,IF(WHR_Comparison_2024_vs_2025!A49=$B$3,WHR_Comparison_2024_vs_2025!I49,NA())),NA())</f>
        <v>6.4686999320983798</v>
      </c>
      <c r="D133" s="2">
        <f>IFERROR(IF($B$3="All",WHR_Comparison_2024_vs_2025!P49,IF(WHR_Comparison_2024_vs_2025!A49=$B$3,WHR_Comparison_2024_vs_2025!P49,NA())),NA())</f>
        <v>0.34710000000000002</v>
      </c>
      <c r="E133" s="2"/>
      <c r="F133" s="2"/>
      <c r="G133" s="2">
        <f>IFERROR(IF($B$3="All",IF($E$3="2024",WHR_Comparison_2024_vs_2025!C49,WHR_Comparison_2024_vs_2025!J49),IF(WHR_Comparison_2024_vs_2025!A49=$B$3,IF($E$3="2024",WHR_Comparison_2024_vs_2025!C49,WHR_Comparison_2024_vs_2025!J49),NA())),NA())</f>
        <v>1.26508092880249</v>
      </c>
      <c r="H133" s="2">
        <f>IFERROR(IF($B$3="All",IF($E$3="2024",WHR_Comparison_2024_vs_2025!B49,WHR_Comparison_2024_vs_2025!I49),IF(WHR_Comparison_2024_vs_2025!A49=$B$3,IF($E$3="2024",WHR_Comparison_2024_vs_2025!B49,WHR_Comparison_2024_vs_2025!I49),NA())),NA())</f>
        <v>6.4686999320983798</v>
      </c>
      <c r="I133" s="2">
        <f>IFERROR(IF($B$3="All",IF($E$3="2024",WHR_Comparison_2024_vs_2025!F49,WHR_Comparison_2024_vs_2025!M49),IF(WHR_Comparison_2024_vs_2025!A49=$B$3,IF($E$3="2024",WHR_Comparison_2024_vs_2025!F49,WHR_Comparison_2024_vs_2025!M49),NA())),NA())</f>
        <v>0.81603050231933505</v>
      </c>
      <c r="J133" s="33">
        <f>IFERROR(IF($B$3="All",IF($E$3="2024",WHR_Comparison_2024_vs_2025!B49,WHR_Comparison_2024_vs_2025!I49),IF(WHR_Comparison_2024_vs_2025!A49=$B$3,IF($E$3="2024",WHR_Comparison_2024_vs_2025!B49,WHR_Comparison_2024_vs_2025!I49),NA())),NA())</f>
        <v>6.4686999320983798</v>
      </c>
    </row>
    <row r="134" spans="1:10" x14ac:dyDescent="0.3">
      <c r="A134" s="32" t="str">
        <f>IF($B$3="All",WHR_Comparison_2024_vs_2025!A50,IF(WHR_Comparison_2024_vs_2025!A50=$B$3,WHR_Comparison_2024_vs_2025!A50,NA()))</f>
        <v>Hungary</v>
      </c>
      <c r="B134" s="2">
        <f>IFERROR(IF($B$3="All",WHR_Comparison_2024_vs_2025!B50,IF(WHR_Comparison_2024_vs_2025!A50=$B$3,WHR_Comparison_2024_vs_2025!B50,NA())),NA())</f>
        <v>6.0412001609802202</v>
      </c>
      <c r="C134" s="2">
        <f>IFERROR(IF($B$3="All",WHR_Comparison_2024_vs_2025!I50,IF(WHR_Comparison_2024_vs_2025!A50=$B$3,WHR_Comparison_2024_vs_2025!I50,NA())),NA())</f>
        <v>6.0169000625610298</v>
      </c>
      <c r="D134" s="2">
        <f>IFERROR(IF($B$3="All",WHR_Comparison_2024_vs_2025!P50,IF(WHR_Comparison_2024_vs_2025!A50=$B$3,WHR_Comparison_2024_vs_2025!P50,NA())),NA())</f>
        <v>-2.4299999999999999E-2</v>
      </c>
      <c r="E134" s="2"/>
      <c r="F134" s="2"/>
      <c r="G134" s="2">
        <f>IFERROR(IF($B$3="All",IF($E$3="2024",WHR_Comparison_2024_vs_2025!C50,WHR_Comparison_2024_vs_2025!J50),IF(WHR_Comparison_2024_vs_2025!A50=$B$3,IF($E$3="2024",WHR_Comparison_2024_vs_2025!C50,WHR_Comparison_2024_vs_2025!J50),NA())),NA())</f>
        <v>1.7220711708068801</v>
      </c>
      <c r="H134" s="2">
        <f>IFERROR(IF($B$3="All",IF($E$3="2024",WHR_Comparison_2024_vs_2025!B50,WHR_Comparison_2024_vs_2025!I50),IF(WHR_Comparison_2024_vs_2025!A50=$B$3,IF($E$3="2024",WHR_Comparison_2024_vs_2025!B50,WHR_Comparison_2024_vs_2025!I50),NA())),NA())</f>
        <v>6.0169000625610298</v>
      </c>
      <c r="I134" s="2">
        <f>IFERROR(IF($B$3="All",IF($E$3="2024",WHR_Comparison_2024_vs_2025!F50,WHR_Comparison_2024_vs_2025!M50),IF(WHR_Comparison_2024_vs_2025!A50=$B$3,IF($E$3="2024",WHR_Comparison_2024_vs_2025!F50,WHR_Comparison_2024_vs_2025!M50),NA())),NA())</f>
        <v>0.58092683553695601</v>
      </c>
      <c r="J134" s="33">
        <f>IFERROR(IF($B$3="All",IF($E$3="2024",WHR_Comparison_2024_vs_2025!B50,WHR_Comparison_2024_vs_2025!I50),IF(WHR_Comparison_2024_vs_2025!A50=$B$3,IF($E$3="2024",WHR_Comparison_2024_vs_2025!B50,WHR_Comparison_2024_vs_2025!I50),NA())),NA())</f>
        <v>6.0169000625610298</v>
      </c>
    </row>
    <row r="135" spans="1:10" x14ac:dyDescent="0.3">
      <c r="A135" s="32" t="str">
        <f>IF($B$3="All",WHR_Comparison_2024_vs_2025!A51,IF(WHR_Comparison_2024_vs_2025!A51=$B$3,WHR_Comparison_2024_vs_2025!A51,NA()))</f>
        <v>Argentina</v>
      </c>
      <c r="B135" s="2">
        <f>IFERROR(IF($B$3="All",WHR_Comparison_2024_vs_2025!B51,IF(WHR_Comparison_2024_vs_2025!A51=$B$3,WHR_Comparison_2024_vs_2025!B51,NA())),NA())</f>
        <v>6.0237002372741699</v>
      </c>
      <c r="C135" s="2">
        <f>IFERROR(IF($B$3="All",WHR_Comparison_2024_vs_2025!I51,IF(WHR_Comparison_2024_vs_2025!A51=$B$3,WHR_Comparison_2024_vs_2025!I51,NA())),NA())</f>
        <v>6.1880998611450098</v>
      </c>
      <c r="D135" s="2">
        <f>IFERROR(IF($B$3="All",WHR_Comparison_2024_vs_2025!P51,IF(WHR_Comparison_2024_vs_2025!A51=$B$3,WHR_Comparison_2024_vs_2025!P51,NA())),NA())</f>
        <v>0.16439999999999999</v>
      </c>
      <c r="E135" s="2"/>
      <c r="F135" s="2"/>
      <c r="G135" s="2">
        <f>IFERROR(IF($B$3="All",IF($E$3="2024",WHR_Comparison_2024_vs_2025!C51,WHR_Comparison_2024_vs_2025!J51),IF(WHR_Comparison_2024_vs_2025!A51=$B$3,IF($E$3="2024",WHR_Comparison_2024_vs_2025!C51,WHR_Comparison_2024_vs_2025!J51),NA())),NA())</f>
        <v>1.5617474317550599</v>
      </c>
      <c r="H135" s="2">
        <f>IFERROR(IF($B$3="All",IF($E$3="2024",WHR_Comparison_2024_vs_2025!B51,WHR_Comparison_2024_vs_2025!I51),IF(WHR_Comparison_2024_vs_2025!A51=$B$3,IF($E$3="2024",WHR_Comparison_2024_vs_2025!B51,WHR_Comparison_2024_vs_2025!I51),NA())),NA())</f>
        <v>6.1880998611450098</v>
      </c>
      <c r="I135" s="2">
        <f>IFERROR(IF($B$3="All",IF($E$3="2024",WHR_Comparison_2024_vs_2025!F51,WHR_Comparison_2024_vs_2025!M51),IF(WHR_Comparison_2024_vs_2025!A51=$B$3,IF($E$3="2024",WHR_Comparison_2024_vs_2025!F51,WHR_Comparison_2024_vs_2025!M51),NA())),NA())</f>
        <v>0.68074375391006403</v>
      </c>
      <c r="J135" s="33">
        <f>IFERROR(IF($B$3="All",IF($E$3="2024",WHR_Comparison_2024_vs_2025!B51,WHR_Comparison_2024_vs_2025!I51),IF(WHR_Comparison_2024_vs_2025!A51=$B$3,IF($E$3="2024",WHR_Comparison_2024_vs_2025!B51,WHR_Comparison_2024_vs_2025!I51),NA())),NA())</f>
        <v>6.1880998611450098</v>
      </c>
    </row>
    <row r="136" spans="1:10" x14ac:dyDescent="0.3">
      <c r="A136" s="32" t="str">
        <f>IF($B$3="All",WHR_Comparison_2024_vs_2025!A52,IF(WHR_Comparison_2024_vs_2025!A52=$B$3,WHR_Comparison_2024_vs_2025!A52,NA()))</f>
        <v>Honduras</v>
      </c>
      <c r="B136" s="2">
        <f>IFERROR(IF($B$3="All",WHR_Comparison_2024_vs_2025!B52,IF(WHR_Comparison_2024_vs_2025!A52=$B$3,WHR_Comparison_2024_vs_2025!B52,NA())),NA())</f>
        <v>6.02250003814697</v>
      </c>
      <c r="C136" s="2">
        <f>IFERROR(IF($B$3="All",WHR_Comparison_2024_vs_2025!I52,IF(WHR_Comparison_2024_vs_2025!A52=$B$3,WHR_Comparison_2024_vs_2025!I52,NA())),NA())</f>
        <v>5.96840000152587</v>
      </c>
      <c r="D136" s="2">
        <f>IFERROR(IF($B$3="All",WHR_Comparison_2024_vs_2025!P52,IF(WHR_Comparison_2024_vs_2025!A52=$B$3,WHR_Comparison_2024_vs_2025!P52,NA())),NA())</f>
        <v>-5.4100000000000002E-2</v>
      </c>
      <c r="E136" s="2"/>
      <c r="F136" s="2"/>
      <c r="G136" s="2">
        <f>IFERROR(IF($B$3="All",IF($E$3="2024",WHR_Comparison_2024_vs_2025!C52,WHR_Comparison_2024_vs_2025!J52),IF(WHR_Comparison_2024_vs_2025!A52=$B$3,IF($E$3="2024",WHR_Comparison_2024_vs_2025!C52,WHR_Comparison_2024_vs_2025!J52),NA())),NA())</f>
        <v>1.0906941890716499</v>
      </c>
      <c r="H136" s="2">
        <f>IFERROR(IF($B$3="All",IF($E$3="2024",WHR_Comparison_2024_vs_2025!B52,WHR_Comparison_2024_vs_2025!I52),IF(WHR_Comparison_2024_vs_2025!A52=$B$3,IF($E$3="2024",WHR_Comparison_2024_vs_2025!B52,WHR_Comparison_2024_vs_2025!I52),NA())),NA())</f>
        <v>5.96840000152587</v>
      </c>
      <c r="I136" s="2">
        <f>IFERROR(IF($B$3="All",IF($E$3="2024",WHR_Comparison_2024_vs_2025!F52,WHR_Comparison_2024_vs_2025!M52),IF(WHR_Comparison_2024_vs_2025!A52=$B$3,IF($E$3="2024",WHR_Comparison_2024_vs_2025!F52,WHR_Comparison_2024_vs_2025!M52),NA())),NA())</f>
        <v>0.71987932920455899</v>
      </c>
      <c r="J136" s="33">
        <f>IFERROR(IF($B$3="All",IF($E$3="2024",WHR_Comparison_2024_vs_2025!B52,WHR_Comparison_2024_vs_2025!I52),IF(WHR_Comparison_2024_vs_2025!A52=$B$3,IF($E$3="2024",WHR_Comparison_2024_vs_2025!B52,WHR_Comparison_2024_vs_2025!I52),NA())),NA())</f>
        <v>5.96840000152587</v>
      </c>
    </row>
    <row r="137" spans="1:10" x14ac:dyDescent="0.3">
      <c r="A137" s="32" t="str">
        <f>IF($B$3="All",WHR_Comparison_2024_vs_2025!A53,IF(WHR_Comparison_2024_vs_2025!A53=$B$3,WHR_Comparison_2024_vs_2025!A53,NA()))</f>
        <v>Uzbekistan</v>
      </c>
      <c r="B137" s="2">
        <f>IFERROR(IF($B$3="All",WHR_Comparison_2024_vs_2025!B53,IF(WHR_Comparison_2024_vs_2025!A53=$B$3,WHR_Comparison_2024_vs_2025!B53,NA())),NA())</f>
        <v>6.01429986953735</v>
      </c>
      <c r="C137" s="2">
        <f>IFERROR(IF($B$3="All",WHR_Comparison_2024_vs_2025!I53,IF(WHR_Comparison_2024_vs_2025!A53=$B$3,WHR_Comparison_2024_vs_2025!I53,NA())),NA())</f>
        <v>6.1950001716613698</v>
      </c>
      <c r="D137" s="2">
        <f>IFERROR(IF($B$3="All",WHR_Comparison_2024_vs_2025!P53,IF(WHR_Comparison_2024_vs_2025!A53=$B$3,WHR_Comparison_2024_vs_2025!P53,NA())),NA())</f>
        <v>0.1807</v>
      </c>
      <c r="E137" s="2"/>
      <c r="F137" s="2"/>
      <c r="G137" s="2">
        <f>IFERROR(IF($B$3="All",IF($E$3="2024",WHR_Comparison_2024_vs_2025!C53,WHR_Comparison_2024_vs_2025!J53),IF(WHR_Comparison_2024_vs_2025!A53=$B$3,IF($E$3="2024",WHR_Comparison_2024_vs_2025!C53,WHR_Comparison_2024_vs_2025!J53),NA())),NA())</f>
        <v>1.2116951942443801</v>
      </c>
      <c r="H137" s="2">
        <f>IFERROR(IF($B$3="All",IF($E$3="2024",WHR_Comparison_2024_vs_2025!B53,WHR_Comparison_2024_vs_2025!I53),IF(WHR_Comparison_2024_vs_2025!A53=$B$3,IF($E$3="2024",WHR_Comparison_2024_vs_2025!B53,WHR_Comparison_2024_vs_2025!I53),NA())),NA())</f>
        <v>6.1950001716613698</v>
      </c>
      <c r="I137" s="2">
        <f>IFERROR(IF($B$3="All",IF($E$3="2024",WHR_Comparison_2024_vs_2025!F53,WHR_Comparison_2024_vs_2025!M53),IF(WHR_Comparison_2024_vs_2025!A53=$B$3,IF($E$3="2024",WHR_Comparison_2024_vs_2025!F53,WHR_Comparison_2024_vs_2025!M53),NA())),NA())</f>
        <v>0.83495360612869196</v>
      </c>
      <c r="J137" s="33">
        <f>IFERROR(IF($B$3="All",IF($E$3="2024",WHR_Comparison_2024_vs_2025!B53,WHR_Comparison_2024_vs_2025!I53),IF(WHR_Comparison_2024_vs_2025!A53=$B$3,IF($E$3="2024",WHR_Comparison_2024_vs_2025!B53,WHR_Comparison_2024_vs_2025!I53),NA())),NA())</f>
        <v>6.1950001716613698</v>
      </c>
    </row>
    <row r="138" spans="1:10" x14ac:dyDescent="0.3">
      <c r="A138" s="32" t="str">
        <f>IF($B$3="All",WHR_Comparison_2024_vs_2025!A54,IF(WHR_Comparison_2024_vs_2025!A54=$B$3,WHR_Comparison_2024_vs_2025!A54,NA()))</f>
        <v>Malaysia</v>
      </c>
      <c r="B138" s="2">
        <f>IFERROR(IF($B$3="All",WHR_Comparison_2024_vs_2025!B54,IF(WHR_Comparison_2024_vs_2025!A54=$B$3,WHR_Comparison_2024_vs_2025!B54,NA())),NA())</f>
        <v>6.0123000144958496</v>
      </c>
      <c r="C138" s="2">
        <f>IFERROR(IF($B$3="All",WHR_Comparison_2024_vs_2025!I54,IF(WHR_Comparison_2024_vs_2025!A54=$B$3,WHR_Comparison_2024_vs_2025!I54,NA())),NA())</f>
        <v>5.9752001762390101</v>
      </c>
      <c r="D138" s="2">
        <f>IFERROR(IF($B$3="All",WHR_Comparison_2024_vs_2025!P54,IF(WHR_Comparison_2024_vs_2025!A54=$B$3,WHR_Comparison_2024_vs_2025!P54,NA())),NA())</f>
        <v>-3.7100000000000001E-2</v>
      </c>
      <c r="E138" s="2"/>
      <c r="F138" s="2"/>
      <c r="G138" s="2">
        <f>IFERROR(IF($B$3="All",IF($E$3="2024",WHR_Comparison_2024_vs_2025!C54,WHR_Comparison_2024_vs_2025!J54),IF(WHR_Comparison_2024_vs_2025!A54=$B$3,IF($E$3="2024",WHR_Comparison_2024_vs_2025!C54,WHR_Comparison_2024_vs_2025!J54),NA())),NA())</f>
        <v>1.6458711624145499</v>
      </c>
      <c r="H138" s="2">
        <f>IFERROR(IF($B$3="All",IF($E$3="2024",WHR_Comparison_2024_vs_2025!B54,WHR_Comparison_2024_vs_2025!I54),IF(WHR_Comparison_2024_vs_2025!A54=$B$3,IF($E$3="2024",WHR_Comparison_2024_vs_2025!B54,WHR_Comparison_2024_vs_2025!I54),NA())),NA())</f>
        <v>5.9752001762390101</v>
      </c>
      <c r="I138" s="2">
        <f>IFERROR(IF($B$3="All",IF($E$3="2024",WHR_Comparison_2024_vs_2025!F54,WHR_Comparison_2024_vs_2025!M54),IF(WHR_Comparison_2024_vs_2025!A54=$B$3,IF($E$3="2024",WHR_Comparison_2024_vs_2025!F54,WHR_Comparison_2024_vs_2025!M54),NA())),NA())</f>
        <v>0.82854324579238803</v>
      </c>
      <c r="J138" s="33">
        <f>IFERROR(IF($B$3="All",IF($E$3="2024",WHR_Comparison_2024_vs_2025!B54,WHR_Comparison_2024_vs_2025!I54),IF(WHR_Comparison_2024_vs_2025!A54=$B$3,IF($E$3="2024",WHR_Comparison_2024_vs_2025!B54,WHR_Comparison_2024_vs_2025!I54),NA())),NA())</f>
        <v>5.9752001762390101</v>
      </c>
    </row>
    <row r="139" spans="1:10" x14ac:dyDescent="0.3">
      <c r="A139" s="32" t="str">
        <f>IF($B$3="All",WHR_Comparison_2024_vs_2025!A55,IF(WHR_Comparison_2024_vs_2025!A55=$B$3,WHR_Comparison_2024_vs_2025!A55,NA()))</f>
        <v>Portugal</v>
      </c>
      <c r="B139" s="2">
        <f>IFERROR(IF($B$3="All",WHR_Comparison_2024_vs_2025!B55,IF(WHR_Comparison_2024_vs_2025!A55=$B$3,WHR_Comparison_2024_vs_2025!B55,NA())),NA())</f>
        <v>5.9679999351501403</v>
      </c>
      <c r="C139" s="2">
        <f>IFERROR(IF($B$3="All",WHR_Comparison_2024_vs_2025!I55,IF(WHR_Comparison_2024_vs_2025!A55=$B$3,WHR_Comparison_2024_vs_2025!I55,NA())),NA())</f>
        <v>6.0296001434326101</v>
      </c>
      <c r="D139" s="2">
        <f>IFERROR(IF($B$3="All",WHR_Comparison_2024_vs_2025!P55,IF(WHR_Comparison_2024_vs_2025!A55=$B$3,WHR_Comparison_2024_vs_2025!P55,NA())),NA())</f>
        <v>6.1600000000000002E-2</v>
      </c>
      <c r="E139" s="2"/>
      <c r="F139" s="2"/>
      <c r="G139" s="2">
        <f>IFERROR(IF($B$3="All",IF($E$3="2024",WHR_Comparison_2024_vs_2025!C55,WHR_Comparison_2024_vs_2025!J55),IF(WHR_Comparison_2024_vs_2025!A55=$B$3,IF($E$3="2024",WHR_Comparison_2024_vs_2025!C55,WHR_Comparison_2024_vs_2025!J55),NA())),NA())</f>
        <v>1.72756016254425</v>
      </c>
      <c r="H139" s="2">
        <f>IFERROR(IF($B$3="All",IF($E$3="2024",WHR_Comparison_2024_vs_2025!B55,WHR_Comparison_2024_vs_2025!I55),IF(WHR_Comparison_2024_vs_2025!A55=$B$3,IF($E$3="2024",WHR_Comparison_2024_vs_2025!B55,WHR_Comparison_2024_vs_2025!I55),NA())),NA())</f>
        <v>6.0296001434326101</v>
      </c>
      <c r="I139" s="2">
        <f>IFERROR(IF($B$3="All",IF($E$3="2024",WHR_Comparison_2024_vs_2025!F55,WHR_Comparison_2024_vs_2025!M55),IF(WHR_Comparison_2024_vs_2025!A55=$B$3,IF($E$3="2024",WHR_Comparison_2024_vs_2025!F55,WHR_Comparison_2024_vs_2025!M55),NA())),NA())</f>
        <v>0.75667178630828802</v>
      </c>
      <c r="J139" s="33">
        <f>IFERROR(IF($B$3="All",IF($E$3="2024",WHR_Comparison_2024_vs_2025!B55,WHR_Comparison_2024_vs_2025!I55),IF(WHR_Comparison_2024_vs_2025!A55=$B$3,IF($E$3="2024",WHR_Comparison_2024_vs_2025!B55,WHR_Comparison_2024_vs_2025!I55),NA())),NA())</f>
        <v>6.0296001434326101</v>
      </c>
    </row>
    <row r="140" spans="1:10" x14ac:dyDescent="0.3">
      <c r="A140" s="32" t="str">
        <f>IF($B$3="All",WHR_Comparison_2024_vs_2025!A56,IF(WHR_Comparison_2024_vs_2025!A56=$B$3,WHR_Comparison_2024_vs_2025!A56,NA()))</f>
        <v>South Korea</v>
      </c>
      <c r="B140" s="2">
        <f>IFERROR(IF($B$3="All",WHR_Comparison_2024_vs_2025!B56,IF(WHR_Comparison_2024_vs_2025!A56=$B$3,WHR_Comparison_2024_vs_2025!B56,NA())),NA())</f>
        <v>5.9510998725891104</v>
      </c>
      <c r="C140" s="2">
        <f>IFERROR(IF($B$3="All",WHR_Comparison_2024_vs_2025!I56,IF(WHR_Comparison_2024_vs_2025!A56=$B$3,WHR_Comparison_2024_vs_2025!I56,NA())),NA())</f>
        <v>6.05789995193481</v>
      </c>
      <c r="D140" s="2">
        <f>IFERROR(IF($B$3="All",WHR_Comparison_2024_vs_2025!P56,IF(WHR_Comparison_2024_vs_2025!A56=$B$3,WHR_Comparison_2024_vs_2025!P56,NA())),NA())</f>
        <v>0.10680000000000001</v>
      </c>
      <c r="E140" s="2"/>
      <c r="F140" s="2"/>
      <c r="G140" s="2">
        <f>IFERROR(IF($B$3="All",IF($E$3="2024",WHR_Comparison_2024_vs_2025!C56,WHR_Comparison_2024_vs_2025!J56),IF(WHR_Comparison_2024_vs_2025!A56=$B$3,IF($E$3="2024",WHR_Comparison_2024_vs_2025!C56,WHR_Comparison_2024_vs_2025!J56),NA())),NA())</f>
        <v>1.81498610973358</v>
      </c>
      <c r="H140" s="2">
        <f>IFERROR(IF($B$3="All",IF($E$3="2024",WHR_Comparison_2024_vs_2025!B56,WHR_Comparison_2024_vs_2025!I56),IF(WHR_Comparison_2024_vs_2025!A56=$B$3,IF($E$3="2024",WHR_Comparison_2024_vs_2025!B56,WHR_Comparison_2024_vs_2025!I56),NA())),NA())</f>
        <v>6.05789995193481</v>
      </c>
      <c r="I140" s="2">
        <f>IFERROR(IF($B$3="All",IF($E$3="2024",WHR_Comparison_2024_vs_2025!F56,WHR_Comparison_2024_vs_2025!M56),IF(WHR_Comparison_2024_vs_2025!A56=$B$3,IF($E$3="2024",WHR_Comparison_2024_vs_2025!F56,WHR_Comparison_2024_vs_2025!M56),NA())),NA())</f>
        <v>0.55467605590820301</v>
      </c>
      <c r="J140" s="33">
        <f>IFERROR(IF($B$3="All",IF($E$3="2024",WHR_Comparison_2024_vs_2025!B56,WHR_Comparison_2024_vs_2025!I56),IF(WHR_Comparison_2024_vs_2025!A56=$B$3,IF($E$3="2024",WHR_Comparison_2024_vs_2025!B56,WHR_Comparison_2024_vs_2025!I56),NA())),NA())</f>
        <v>6.05789995193481</v>
      </c>
    </row>
    <row r="141" spans="1:10" x14ac:dyDescent="0.3">
      <c r="A141" s="32" t="str">
        <f>IF($B$3="All",WHR_Comparison_2024_vs_2025!A57,IF(WHR_Comparison_2024_vs_2025!A57=$B$3,WHR_Comparison_2024_vs_2025!A57,NA()))</f>
        <v>Greece</v>
      </c>
      <c r="B141" s="2">
        <f>IFERROR(IF($B$3="All",WHR_Comparison_2024_vs_2025!B57,IF(WHR_Comparison_2024_vs_2025!A57=$B$3,WHR_Comparison_2024_vs_2025!B57,NA())),NA())</f>
        <v>5.9309000968933097</v>
      </c>
      <c r="C141" s="2">
        <f>IFERROR(IF($B$3="All",WHR_Comparison_2024_vs_2025!I57,IF(WHR_Comparison_2024_vs_2025!A57=$B$3,WHR_Comparison_2024_vs_2025!I57,NA())),NA())</f>
        <v>5.9335999488830504</v>
      </c>
      <c r="D141" s="2">
        <f>IFERROR(IF($B$3="All",WHR_Comparison_2024_vs_2025!P57,IF(WHR_Comparison_2024_vs_2025!A57=$B$3,WHR_Comparison_2024_vs_2025!P57,NA())),NA())</f>
        <v>2.7000000000000001E-3</v>
      </c>
      <c r="E141" s="2"/>
      <c r="F141" s="2"/>
      <c r="G141" s="2">
        <f>IFERROR(IF($B$3="All",IF($E$3="2024",WHR_Comparison_2024_vs_2025!C57,WHR_Comparison_2024_vs_2025!J57),IF(WHR_Comparison_2024_vs_2025!A57=$B$3,IF($E$3="2024",WHR_Comparison_2024_vs_2025!C57,WHR_Comparison_2024_vs_2025!J57),NA())),NA())</f>
        <v>1.68391549587249</v>
      </c>
      <c r="H141" s="2">
        <f>IFERROR(IF($B$3="All",IF($E$3="2024",WHR_Comparison_2024_vs_2025!B57,WHR_Comparison_2024_vs_2025!I57),IF(WHR_Comparison_2024_vs_2025!A57=$B$3,IF($E$3="2024",WHR_Comparison_2024_vs_2025!B57,WHR_Comparison_2024_vs_2025!I57),NA())),NA())</f>
        <v>5.9335999488830504</v>
      </c>
      <c r="I141" s="2">
        <f>IFERROR(IF($B$3="All",IF($E$3="2024",WHR_Comparison_2024_vs_2025!F57,WHR_Comparison_2024_vs_2025!M57),IF(WHR_Comparison_2024_vs_2025!A57=$B$3,IF($E$3="2024",WHR_Comparison_2024_vs_2025!F57,WHR_Comparison_2024_vs_2025!M57),NA())),NA())</f>
        <v>0.33715590834617598</v>
      </c>
      <c r="J141" s="33">
        <f>IFERROR(IF($B$3="All",IF($E$3="2024",WHR_Comparison_2024_vs_2025!B57,WHR_Comparison_2024_vs_2025!I57),IF(WHR_Comparison_2024_vs_2025!A57=$B$3,IF($E$3="2024",WHR_Comparison_2024_vs_2025!B57,WHR_Comparison_2024_vs_2025!I57),NA())),NA())</f>
        <v>5.9335999488830504</v>
      </c>
    </row>
    <row r="142" spans="1:10" x14ac:dyDescent="0.3">
      <c r="A142" s="32" t="str">
        <f>IF($B$3="All",WHR_Comparison_2024_vs_2025!A58,IF(WHR_Comparison_2024_vs_2025!A58=$B$3,WHR_Comparison_2024_vs_2025!A58,NA()))</f>
        <v>Mauritius</v>
      </c>
      <c r="B142" s="2">
        <f>IFERROR(IF($B$3="All",WHR_Comparison_2024_vs_2025!B58,IF(WHR_Comparison_2024_vs_2025!A58=$B$3,WHR_Comparison_2024_vs_2025!B58,NA())),NA())</f>
        <v>5.90229988098144</v>
      </c>
      <c r="C142" s="2">
        <f>IFERROR(IF($B$3="All",WHR_Comparison_2024_vs_2025!I58,IF(WHR_Comparison_2024_vs_2025!A58=$B$3,WHR_Comparison_2024_vs_2025!I58,NA())),NA())</f>
        <v>5.8164000511169398</v>
      </c>
      <c r="D142" s="2">
        <f>IFERROR(IF($B$3="All",WHR_Comparison_2024_vs_2025!P58,IF(WHR_Comparison_2024_vs_2025!A58=$B$3,WHR_Comparison_2024_vs_2025!P58,NA())),NA())</f>
        <v>-8.5900000000000004E-2</v>
      </c>
      <c r="E142" s="2"/>
      <c r="F142" s="2"/>
      <c r="G142" s="2">
        <f>IFERROR(IF($B$3="All",IF($E$3="2024",WHR_Comparison_2024_vs_2025!C58,WHR_Comparison_2024_vs_2025!J58),IF(WHR_Comparison_2024_vs_2025!A58=$B$3,IF($E$3="2024",WHR_Comparison_2024_vs_2025!C58,WHR_Comparison_2024_vs_2025!J58),NA())),NA())</f>
        <v>1.5704201459884599</v>
      </c>
      <c r="H142" s="2">
        <f>IFERROR(IF($B$3="All",IF($E$3="2024",WHR_Comparison_2024_vs_2025!B58,WHR_Comparison_2024_vs_2025!I58),IF(WHR_Comparison_2024_vs_2025!A58=$B$3,IF($E$3="2024",WHR_Comparison_2024_vs_2025!B58,WHR_Comparison_2024_vs_2025!I58),NA())),NA())</f>
        <v>5.8164000511169398</v>
      </c>
      <c r="I142" s="2">
        <f>IFERROR(IF($B$3="All",IF($E$3="2024",WHR_Comparison_2024_vs_2025!F58,WHR_Comparison_2024_vs_2025!M58),IF(WHR_Comparison_2024_vs_2025!A58=$B$3,IF($E$3="2024",WHR_Comparison_2024_vs_2025!F58,WHR_Comparison_2024_vs_2025!M58),NA())),NA())</f>
        <v>0.64079582691192605</v>
      </c>
      <c r="J142" s="33">
        <f>IFERROR(IF($B$3="All",IF($E$3="2024",WHR_Comparison_2024_vs_2025!B58,WHR_Comparison_2024_vs_2025!I58),IF(WHR_Comparison_2024_vs_2025!A58=$B$3,IF($E$3="2024",WHR_Comparison_2024_vs_2025!B58,WHR_Comparison_2024_vs_2025!I58),NA())),NA())</f>
        <v>5.8164000511169398</v>
      </c>
    </row>
    <row r="143" spans="1:10" x14ac:dyDescent="0.3">
      <c r="A143" s="32" t="str">
        <f>IF($B$3="All",WHR_Comparison_2024_vs_2025!A59,IF(WHR_Comparison_2024_vs_2025!A59=$B$3,WHR_Comparison_2024_vs_2025!A59,NA()))</f>
        <v>Thailand</v>
      </c>
      <c r="B143" s="2">
        <f>IFERROR(IF($B$3="All",WHR_Comparison_2024_vs_2025!B59,IF(WHR_Comparison_2024_vs_2025!A59=$B$3,WHR_Comparison_2024_vs_2025!B59,NA())),NA())</f>
        <v>5.8429999351501403</v>
      </c>
      <c r="C143" s="2">
        <f>IFERROR(IF($B$3="All",WHR_Comparison_2024_vs_2025!I59,IF(WHR_Comparison_2024_vs_2025!A59=$B$3,WHR_Comparison_2024_vs_2025!I59,NA())),NA())</f>
        <v>5.9760999679565403</v>
      </c>
      <c r="D143" s="2">
        <f>IFERROR(IF($B$3="All",WHR_Comparison_2024_vs_2025!P59,IF(WHR_Comparison_2024_vs_2025!A59=$B$3,WHR_Comparison_2024_vs_2025!P59,NA())),NA())</f>
        <v>0.1331</v>
      </c>
      <c r="E143" s="2"/>
      <c r="F143" s="2"/>
      <c r="G143" s="2">
        <f>IFERROR(IF($B$3="All",IF($E$3="2024",WHR_Comparison_2024_vs_2025!C59,WHR_Comparison_2024_vs_2025!J59),IF(WHR_Comparison_2024_vs_2025!A59=$B$3,IF($E$3="2024",WHR_Comparison_2024_vs_2025!C59,WHR_Comparison_2024_vs_2025!J59),NA())),NA())</f>
        <v>1.48420751094818</v>
      </c>
      <c r="H143" s="2">
        <f>IFERROR(IF($B$3="All",IF($E$3="2024",WHR_Comparison_2024_vs_2025!B59,WHR_Comparison_2024_vs_2025!I59),IF(WHR_Comparison_2024_vs_2025!A59=$B$3,IF($E$3="2024",WHR_Comparison_2024_vs_2025!B59,WHR_Comparison_2024_vs_2025!I59),NA())),NA())</f>
        <v>5.9760999679565403</v>
      </c>
      <c r="I143" s="2">
        <f>IFERROR(IF($B$3="All",IF($E$3="2024",WHR_Comparison_2024_vs_2025!F59,WHR_Comparison_2024_vs_2025!M59),IF(WHR_Comparison_2024_vs_2025!A59=$B$3,IF($E$3="2024",WHR_Comparison_2024_vs_2025!F59,WHR_Comparison_2024_vs_2025!M59),NA())),NA())</f>
        <v>0.75567859411239602</v>
      </c>
      <c r="J143" s="33">
        <f>IFERROR(IF($B$3="All",IF($E$3="2024",WHR_Comparison_2024_vs_2025!B59,WHR_Comparison_2024_vs_2025!I59),IF(WHR_Comparison_2024_vs_2025!A59=$B$3,IF($E$3="2024",WHR_Comparison_2024_vs_2025!B59,WHR_Comparison_2024_vs_2025!I59),NA())),NA())</f>
        <v>5.9760999679565403</v>
      </c>
    </row>
    <row r="144" spans="1:10" x14ac:dyDescent="0.3">
      <c r="A144" s="32" t="str">
        <f>IF($B$3="All",WHR_Comparison_2024_vs_2025!A60,IF(WHR_Comparison_2024_vs_2025!A60=$B$3,WHR_Comparison_2024_vs_2025!A60,NA()))</f>
        <v>Mongolia</v>
      </c>
      <c r="B144" s="2">
        <f>IFERROR(IF($B$3="All",WHR_Comparison_2024_vs_2025!B60,IF(WHR_Comparison_2024_vs_2025!A60=$B$3,WHR_Comparison_2024_vs_2025!B60,NA())),NA())</f>
        <v>5.8401999473571697</v>
      </c>
      <c r="C144" s="2">
        <f>IFERROR(IF($B$3="All",WHR_Comparison_2024_vs_2025!I60,IF(WHR_Comparison_2024_vs_2025!A60=$B$3,WHR_Comparison_2024_vs_2025!I60,NA())),NA())</f>
        <v>5.6961998939514098</v>
      </c>
      <c r="D144" s="2">
        <f>IFERROR(IF($B$3="All",WHR_Comparison_2024_vs_2025!P60,IF(WHR_Comparison_2024_vs_2025!A60=$B$3,WHR_Comparison_2024_vs_2025!P60,NA())),NA())</f>
        <v>-0.14399999999999999</v>
      </c>
      <c r="E144" s="2"/>
      <c r="F144" s="2"/>
      <c r="G144" s="2">
        <f>IFERROR(IF($B$3="All",IF($E$3="2024",WHR_Comparison_2024_vs_2025!C60,WHR_Comparison_2024_vs_2025!J60),IF(WHR_Comparison_2024_vs_2025!A60=$B$3,IF($E$3="2024",WHR_Comparison_2024_vs_2025!C60,WHR_Comparison_2024_vs_2025!J60),NA())),NA())</f>
        <v>1.3527040481567301</v>
      </c>
      <c r="H144" s="2">
        <f>IFERROR(IF($B$3="All",IF($E$3="2024",WHR_Comparison_2024_vs_2025!B60,WHR_Comparison_2024_vs_2025!I60),IF(WHR_Comparison_2024_vs_2025!A60=$B$3,IF($E$3="2024",WHR_Comparison_2024_vs_2025!B60,WHR_Comparison_2024_vs_2025!I60),NA())),NA())</f>
        <v>5.6961998939514098</v>
      </c>
      <c r="I144" s="2">
        <f>IFERROR(IF($B$3="All",IF($E$3="2024",WHR_Comparison_2024_vs_2025!F60,WHR_Comparison_2024_vs_2025!M60),IF(WHR_Comparison_2024_vs_2025!A60=$B$3,IF($E$3="2024",WHR_Comparison_2024_vs_2025!F60,WHR_Comparison_2024_vs_2025!M60),NA())),NA())</f>
        <v>0.50080066919326705</v>
      </c>
      <c r="J144" s="33">
        <f>IFERROR(IF($B$3="All",IF($E$3="2024",WHR_Comparison_2024_vs_2025!B60,WHR_Comparison_2024_vs_2025!I60),IF(WHR_Comparison_2024_vs_2025!A60=$B$3,IF($E$3="2024",WHR_Comparison_2024_vs_2025!B60,WHR_Comparison_2024_vs_2025!I60),NA())),NA())</f>
        <v>5.6961998939514098</v>
      </c>
    </row>
    <row r="145" spans="1:10" x14ac:dyDescent="0.3">
      <c r="A145" s="32" t="str">
        <f>IF($B$3="All",WHR_Comparison_2024_vs_2025!A61,IF(WHR_Comparison_2024_vs_2025!A61=$B$3,WHR_Comparison_2024_vs_2025!A61,NA()))</f>
        <v>Kyrgyzstan</v>
      </c>
      <c r="B145" s="2">
        <f>IFERROR(IF($B$3="All",WHR_Comparison_2024_vs_2025!B61,IF(WHR_Comparison_2024_vs_2025!A61=$B$3,WHR_Comparison_2024_vs_2025!B61,NA())),NA())</f>
        <v>5.8253002166748002</v>
      </c>
      <c r="C145" s="2">
        <f>IFERROR(IF($B$3="All",WHR_Comparison_2024_vs_2025!I61,IF(WHR_Comparison_2024_vs_2025!A61=$B$3,WHR_Comparison_2024_vs_2025!I61,NA())),NA())</f>
        <v>5.71350002288818</v>
      </c>
      <c r="D145" s="2">
        <f>IFERROR(IF($B$3="All",WHR_Comparison_2024_vs_2025!P61,IF(WHR_Comparison_2024_vs_2025!A61=$B$3,WHR_Comparison_2024_vs_2025!P61,NA())),NA())</f>
        <v>-0.1118</v>
      </c>
      <c r="E145" s="2"/>
      <c r="F145" s="2"/>
      <c r="G145" s="2">
        <f>IFERROR(IF($B$3="All",IF($E$3="2024",WHR_Comparison_2024_vs_2025!C61,WHR_Comparison_2024_vs_2025!J61),IF(WHR_Comparison_2024_vs_2025!A61=$B$3,IF($E$3="2024",WHR_Comparison_2024_vs_2025!C61,WHR_Comparison_2024_vs_2025!J61),NA())),NA())</f>
        <v>1.0542736053466699</v>
      </c>
      <c r="H145" s="2">
        <f>IFERROR(IF($B$3="All",IF($E$3="2024",WHR_Comparison_2024_vs_2025!B61,WHR_Comparison_2024_vs_2025!I61),IF(WHR_Comparison_2024_vs_2025!A61=$B$3,IF($E$3="2024",WHR_Comparison_2024_vs_2025!B61,WHR_Comparison_2024_vs_2025!I61),NA())),NA())</f>
        <v>5.71350002288818</v>
      </c>
      <c r="I145" s="2">
        <f>IFERROR(IF($B$3="All",IF($E$3="2024",WHR_Comparison_2024_vs_2025!F61,WHR_Comparison_2024_vs_2025!M61),IF(WHR_Comparison_2024_vs_2025!A61=$B$3,IF($E$3="2024",WHR_Comparison_2024_vs_2025!F61,WHR_Comparison_2024_vs_2025!M61),NA())),NA())</f>
        <v>0.83427447080612105</v>
      </c>
      <c r="J145" s="33">
        <f>IFERROR(IF($B$3="All",IF($E$3="2024",WHR_Comparison_2024_vs_2025!B61,WHR_Comparison_2024_vs_2025!I61),IF(WHR_Comparison_2024_vs_2025!A61=$B$3,IF($E$3="2024",WHR_Comparison_2024_vs_2025!B61,WHR_Comparison_2024_vs_2025!I61),NA())),NA())</f>
        <v>5.71350002288818</v>
      </c>
    </row>
    <row r="146" spans="1:10" x14ac:dyDescent="0.3">
      <c r="A146" s="32" t="str">
        <f>IF($B$3="All",WHR_Comparison_2024_vs_2025!A62,IF(WHR_Comparison_2024_vs_2025!A62=$B$3,WHR_Comparison_2024_vs_2025!A62,NA()))</f>
        <v>Moldova</v>
      </c>
      <c r="B146" s="2">
        <f>IFERROR(IF($B$3="All",WHR_Comparison_2024_vs_2025!B62,IF(WHR_Comparison_2024_vs_2025!A62=$B$3,WHR_Comparison_2024_vs_2025!B62,NA())),NA())</f>
        <v>5.8192000389099103</v>
      </c>
      <c r="C146" s="2">
        <f>IFERROR(IF($B$3="All",WHR_Comparison_2024_vs_2025!I62,IF(WHR_Comparison_2024_vs_2025!A62=$B$3,WHR_Comparison_2024_vs_2025!I62,NA())),NA())</f>
        <v>5.8158998489379803</v>
      </c>
      <c r="D146" s="2">
        <f>IFERROR(IF($B$3="All",WHR_Comparison_2024_vs_2025!P62,IF(WHR_Comparison_2024_vs_2025!A62=$B$3,WHR_Comparison_2024_vs_2025!P62,NA())),NA())</f>
        <v>-3.3E-3</v>
      </c>
      <c r="E146" s="2"/>
      <c r="F146" s="2"/>
      <c r="G146" s="2">
        <f>IFERROR(IF($B$3="All",IF($E$3="2024",WHR_Comparison_2024_vs_2025!C62,WHR_Comparison_2024_vs_2025!J62),IF(WHR_Comparison_2024_vs_2025!A62=$B$3,IF($E$3="2024",WHR_Comparison_2024_vs_2025!C62,WHR_Comparison_2024_vs_2025!J62),NA())),NA())</f>
        <v>1.38536441326141</v>
      </c>
      <c r="H146" s="2">
        <f>IFERROR(IF($B$3="All",IF($E$3="2024",WHR_Comparison_2024_vs_2025!B62,WHR_Comparison_2024_vs_2025!I62),IF(WHR_Comparison_2024_vs_2025!A62=$B$3,IF($E$3="2024",WHR_Comparison_2024_vs_2025!B62,WHR_Comparison_2024_vs_2025!I62),NA())),NA())</f>
        <v>5.8158998489379803</v>
      </c>
      <c r="I146" s="2">
        <f>IFERROR(IF($B$3="All",IF($E$3="2024",WHR_Comparison_2024_vs_2025!F62,WHR_Comparison_2024_vs_2025!M62),IF(WHR_Comparison_2024_vs_2025!A62=$B$3,IF($E$3="2024",WHR_Comparison_2024_vs_2025!F62,WHR_Comparison_2024_vs_2025!M62),NA())),NA())</f>
        <v>0.69485604763030995</v>
      </c>
      <c r="J146" s="33">
        <f>IFERROR(IF($B$3="All",IF($E$3="2024",WHR_Comparison_2024_vs_2025!B62,WHR_Comparison_2024_vs_2025!I62),IF(WHR_Comparison_2024_vs_2025!A62=$B$3,IF($E$3="2024",WHR_Comparison_2024_vs_2025!B62,WHR_Comparison_2024_vs_2025!I62),NA())),NA())</f>
        <v>5.8158998489379803</v>
      </c>
    </row>
    <row r="147" spans="1:10" x14ac:dyDescent="0.3">
      <c r="A147" s="32" t="str">
        <f>IF($B$3="All",WHR_Comparison_2024_vs_2025!A63,IF(WHR_Comparison_2024_vs_2025!A63=$B$3,WHR_Comparison_2024_vs_2025!A63,NA()))</f>
        <v>China</v>
      </c>
      <c r="B147" s="2">
        <f>IFERROR(IF($B$3="All",WHR_Comparison_2024_vs_2025!B63,IF(WHR_Comparison_2024_vs_2025!A63=$B$3,WHR_Comparison_2024_vs_2025!B63,NA())),NA())</f>
        <v>5.8179001808166504</v>
      </c>
      <c r="C147" s="2">
        <f>IFERROR(IF($B$3="All",WHR_Comparison_2024_vs_2025!I63,IF(WHR_Comparison_2024_vs_2025!A63=$B$3,WHR_Comparison_2024_vs_2025!I63,NA())),NA())</f>
        <v>5.9727001190185502</v>
      </c>
      <c r="D147" s="2">
        <f>IFERROR(IF($B$3="All",WHR_Comparison_2024_vs_2025!P63,IF(WHR_Comparison_2024_vs_2025!A63=$B$3,WHR_Comparison_2024_vs_2025!P63,NA())),NA())</f>
        <v>0.15479999999999999</v>
      </c>
      <c r="E147" s="2"/>
      <c r="F147" s="2"/>
      <c r="G147" s="2">
        <f>IFERROR(IF($B$3="All",IF($E$3="2024",WHR_Comparison_2024_vs_2025!C63,WHR_Comparison_2024_vs_2025!J63),IF(WHR_Comparison_2024_vs_2025!A63=$B$3,IF($E$3="2024",WHR_Comparison_2024_vs_2025!C63,WHR_Comparison_2024_vs_2025!J63),NA())),NA())</f>
        <v>1.49684822559356</v>
      </c>
      <c r="H147" s="2">
        <f>IFERROR(IF($B$3="All",IF($E$3="2024",WHR_Comparison_2024_vs_2025!B63,WHR_Comparison_2024_vs_2025!I63),IF(WHR_Comparison_2024_vs_2025!A63=$B$3,IF($E$3="2024",WHR_Comparison_2024_vs_2025!B63,WHR_Comparison_2024_vs_2025!I63),NA())),NA())</f>
        <v>5.9727001190185502</v>
      </c>
      <c r="I147" s="2">
        <f>IFERROR(IF($B$3="All",IF($E$3="2024",WHR_Comparison_2024_vs_2025!F63,WHR_Comparison_2024_vs_2025!M63),IF(WHR_Comparison_2024_vs_2025!A63=$B$3,IF($E$3="2024",WHR_Comparison_2024_vs_2025!F63,WHR_Comparison_2024_vs_2025!M63),NA())),NA())</f>
        <v>0.70440632104873602</v>
      </c>
      <c r="J147" s="33">
        <f>IFERROR(IF($B$3="All",IF($E$3="2024",WHR_Comparison_2024_vs_2025!B63,WHR_Comparison_2024_vs_2025!I63),IF(WHR_Comparison_2024_vs_2025!A63=$B$3,IF($E$3="2024",WHR_Comparison_2024_vs_2025!B63,WHR_Comparison_2024_vs_2025!I63),NA())),NA())</f>
        <v>5.9727001190185502</v>
      </c>
    </row>
    <row r="148" spans="1:10" x14ac:dyDescent="0.3">
      <c r="A148" s="32" t="str">
        <f>IF($B$3="All",WHR_Comparison_2024_vs_2025!A64,IF(WHR_Comparison_2024_vs_2025!A64=$B$3,WHR_Comparison_2024_vs_2025!A64,NA()))</f>
        <v>Vietnam</v>
      </c>
      <c r="B148" s="2">
        <f>IFERROR(IF($B$3="All",WHR_Comparison_2024_vs_2025!B64,IF(WHR_Comparison_2024_vs_2025!A64=$B$3,WHR_Comparison_2024_vs_2025!B64,NA())),NA())</f>
        <v>5.7632999420165998</v>
      </c>
      <c r="C148" s="2">
        <f>IFERROR(IF($B$3="All",WHR_Comparison_2024_vs_2025!I64,IF(WHR_Comparison_2024_vs_2025!A64=$B$3,WHR_Comparison_2024_vs_2025!I64,NA())),NA())</f>
        <v>6.0430002212524396</v>
      </c>
      <c r="D148" s="2">
        <f>IFERROR(IF($B$3="All",WHR_Comparison_2024_vs_2025!P64,IF(WHR_Comparison_2024_vs_2025!A64=$B$3,WHR_Comparison_2024_vs_2025!P64,NA())),NA())</f>
        <v>0.2797</v>
      </c>
      <c r="E148" s="2"/>
      <c r="F148" s="2"/>
      <c r="G148" s="2">
        <f>IFERROR(IF($B$3="All",IF($E$3="2024",WHR_Comparison_2024_vs_2025!C64,WHR_Comparison_2024_vs_2025!J64),IF(WHR_Comparison_2024_vs_2025!A64=$B$3,IF($E$3="2024",WHR_Comparison_2024_vs_2025!C64,WHR_Comparison_2024_vs_2025!J64),NA())),NA())</f>
        <v>1.33050060272216</v>
      </c>
      <c r="H148" s="2">
        <f>IFERROR(IF($B$3="All",IF($E$3="2024",WHR_Comparison_2024_vs_2025!B64,WHR_Comparison_2024_vs_2025!I64),IF(WHR_Comparison_2024_vs_2025!A64=$B$3,IF($E$3="2024",WHR_Comparison_2024_vs_2025!B64,WHR_Comparison_2024_vs_2025!I64),NA())),NA())</f>
        <v>6.0430002212524396</v>
      </c>
      <c r="I148" s="2">
        <f>IFERROR(IF($B$3="All",IF($E$3="2024",WHR_Comparison_2024_vs_2025!F64,WHR_Comparison_2024_vs_2025!M64),IF(WHR_Comparison_2024_vs_2025!A64=$B$3,IF($E$3="2024",WHR_Comparison_2024_vs_2025!F64,WHR_Comparison_2024_vs_2025!M64),NA())),NA())</f>
        <v>0.84256321191787698</v>
      </c>
      <c r="J148" s="33">
        <f>IFERROR(IF($B$3="All",IF($E$3="2024",WHR_Comparison_2024_vs_2025!B64,WHR_Comparison_2024_vs_2025!I64),IF(WHR_Comparison_2024_vs_2025!A64=$B$3,IF($E$3="2024",WHR_Comparison_2024_vs_2025!B64,WHR_Comparison_2024_vs_2025!I64),NA())),NA())</f>
        <v>6.0430002212524396</v>
      </c>
    </row>
    <row r="149" spans="1:10" x14ac:dyDescent="0.3">
      <c r="A149" s="32" t="str">
        <f>IF($B$3="All",WHR_Comparison_2024_vs_2025!A65,IF(WHR_Comparison_2024_vs_2025!A65=$B$3,WHR_Comparison_2024_vs_2025!A65,NA()))</f>
        <v>Paraguay</v>
      </c>
      <c r="B149" s="2">
        <f>IFERROR(IF($B$3="All",WHR_Comparison_2024_vs_2025!B65,IF(WHR_Comparison_2024_vs_2025!A65=$B$3,WHR_Comparison_2024_vs_2025!B65,NA())),NA())</f>
        <v>5.7378001213073704</v>
      </c>
      <c r="C149" s="2">
        <f>IFERROR(IF($B$3="All",WHR_Comparison_2024_vs_2025!I65,IF(WHR_Comparison_2024_vs_2025!A65=$B$3,WHR_Comparison_2024_vs_2025!I65,NA())),NA())</f>
        <v>5.9765000343322701</v>
      </c>
      <c r="D149" s="2">
        <f>IFERROR(IF($B$3="All",WHR_Comparison_2024_vs_2025!P65,IF(WHR_Comparison_2024_vs_2025!A65=$B$3,WHR_Comparison_2024_vs_2025!P65,NA())),NA())</f>
        <v>0.2387</v>
      </c>
      <c r="E149" s="2"/>
      <c r="F149" s="2"/>
      <c r="G149" s="2">
        <f>IFERROR(IF($B$3="All",IF($E$3="2024",WHR_Comparison_2024_vs_2025!C65,WHR_Comparison_2024_vs_2025!J65),IF(WHR_Comparison_2024_vs_2025!A65=$B$3,IF($E$3="2024",WHR_Comparison_2024_vs_2025!C65,WHR_Comparison_2024_vs_2025!J65),NA())),NA())</f>
        <v>1.3981411457061701</v>
      </c>
      <c r="H149" s="2">
        <f>IFERROR(IF($B$3="All",IF($E$3="2024",WHR_Comparison_2024_vs_2025!B65,WHR_Comparison_2024_vs_2025!I65),IF(WHR_Comparison_2024_vs_2025!A65=$B$3,IF($E$3="2024",WHR_Comparison_2024_vs_2025!B65,WHR_Comparison_2024_vs_2025!I65),NA())),NA())</f>
        <v>5.9765000343322701</v>
      </c>
      <c r="I149" s="2">
        <f>IFERROR(IF($B$3="All",IF($E$3="2024",WHR_Comparison_2024_vs_2025!F65,WHR_Comparison_2024_vs_2025!M65),IF(WHR_Comparison_2024_vs_2025!A65=$B$3,IF($E$3="2024",WHR_Comparison_2024_vs_2025!F65,WHR_Comparison_2024_vs_2025!M65),NA())),NA())</f>
        <v>0.78757679462432795</v>
      </c>
      <c r="J149" s="33">
        <f>IFERROR(IF($B$3="All",IF($E$3="2024",WHR_Comparison_2024_vs_2025!B65,WHR_Comparison_2024_vs_2025!I65),IF(WHR_Comparison_2024_vs_2025!A65=$B$3,IF($E$3="2024",WHR_Comparison_2024_vs_2025!B65,WHR_Comparison_2024_vs_2025!I65),NA())),NA())</f>
        <v>5.9765000343322701</v>
      </c>
    </row>
    <row r="150" spans="1:10" x14ac:dyDescent="0.3">
      <c r="A150" s="32" t="str">
        <f>IF($B$3="All",WHR_Comparison_2024_vs_2025!A66,IF(WHR_Comparison_2024_vs_2025!A66=$B$3,WHR_Comparison_2024_vs_2025!A66,NA()))</f>
        <v>Montenegro</v>
      </c>
      <c r="B150" s="2">
        <f>IFERROR(IF($B$3="All",WHR_Comparison_2024_vs_2025!B66,IF(WHR_Comparison_2024_vs_2025!A66=$B$3,WHR_Comparison_2024_vs_2025!B66,NA())),NA())</f>
        <v>5.7221999168395996</v>
      </c>
      <c r="C150" s="2">
        <f>IFERROR(IF($B$3="All",WHR_Comparison_2024_vs_2025!I66,IF(WHR_Comparison_2024_vs_2025!A66=$B$3,WHR_Comparison_2024_vs_2025!I66,NA())),NA())</f>
        <v>5.7069997787475497</v>
      </c>
      <c r="D150" s="2">
        <f>IFERROR(IF($B$3="All",WHR_Comparison_2024_vs_2025!P66,IF(WHR_Comparison_2024_vs_2025!A66=$B$3,WHR_Comparison_2024_vs_2025!P66,NA())),NA())</f>
        <v>-1.52E-2</v>
      </c>
      <c r="E150" s="2"/>
      <c r="F150" s="2"/>
      <c r="G150" s="2">
        <f>IFERROR(IF($B$3="All",IF($E$3="2024",WHR_Comparison_2024_vs_2025!C66,WHR_Comparison_2024_vs_2025!J66),IF(WHR_Comparison_2024_vs_2025!A66=$B$3,IF($E$3="2024",WHR_Comparison_2024_vs_2025!C66,WHR_Comparison_2024_vs_2025!J66),NA())),NA())</f>
        <v>1.5705214738845801</v>
      </c>
      <c r="H150" s="2">
        <f>IFERROR(IF($B$3="All",IF($E$3="2024",WHR_Comparison_2024_vs_2025!B66,WHR_Comparison_2024_vs_2025!I66),IF(WHR_Comparison_2024_vs_2025!A66=$B$3,IF($E$3="2024",WHR_Comparison_2024_vs_2025!B66,WHR_Comparison_2024_vs_2025!I66),NA())),NA())</f>
        <v>5.7069997787475497</v>
      </c>
      <c r="I150" s="2">
        <f>IFERROR(IF($B$3="All",IF($E$3="2024",WHR_Comparison_2024_vs_2025!F66,WHR_Comparison_2024_vs_2025!M66),IF(WHR_Comparison_2024_vs_2025!A66=$B$3,IF($E$3="2024",WHR_Comparison_2024_vs_2025!F66,WHR_Comparison_2024_vs_2025!M66),NA())),NA())</f>
        <v>0.63172835111617998</v>
      </c>
      <c r="J150" s="33">
        <f>IFERROR(IF($B$3="All",IF($E$3="2024",WHR_Comparison_2024_vs_2025!B66,WHR_Comparison_2024_vs_2025!I66),IF(WHR_Comparison_2024_vs_2025!A66=$B$3,IF($E$3="2024",WHR_Comparison_2024_vs_2025!B66,WHR_Comparison_2024_vs_2025!I66),NA())),NA())</f>
        <v>5.7069997787475497</v>
      </c>
    </row>
    <row r="151" spans="1:10" x14ac:dyDescent="0.3">
      <c r="A151" s="32" t="str">
        <f>IF($B$3="All",WHR_Comparison_2024_vs_2025!A67,IF(WHR_Comparison_2024_vs_2025!A67=$B$3,WHR_Comparison_2024_vs_2025!A67,NA()))</f>
        <v>Jamaica</v>
      </c>
      <c r="B151" s="2">
        <f>IFERROR(IF($B$3="All",WHR_Comparison_2024_vs_2025!B67,IF(WHR_Comparison_2024_vs_2025!A67=$B$3,WHR_Comparison_2024_vs_2025!B67,NA())),NA())</f>
        <v>5.7027001380920401</v>
      </c>
      <c r="C151" s="2">
        <f>IFERROR(IF($B$3="All",WHR_Comparison_2024_vs_2025!I67,IF(WHR_Comparison_2024_vs_2025!A67=$B$3,WHR_Comparison_2024_vs_2025!I67,NA())),NA())</f>
        <v>5.8417000770568803</v>
      </c>
      <c r="D151" s="2">
        <f>IFERROR(IF($B$3="All",WHR_Comparison_2024_vs_2025!P67,IF(WHR_Comparison_2024_vs_2025!A67=$B$3,WHR_Comparison_2024_vs_2025!P67,NA())),NA())</f>
        <v>0.13900000000000001</v>
      </c>
      <c r="E151" s="2"/>
      <c r="F151" s="2"/>
      <c r="G151" s="2">
        <f>IFERROR(IF($B$3="All",IF($E$3="2024",WHR_Comparison_2024_vs_2025!C67,WHR_Comparison_2024_vs_2025!J67),IF(WHR_Comparison_2024_vs_2025!A67=$B$3,IF($E$3="2024",WHR_Comparison_2024_vs_2025!C67,WHR_Comparison_2024_vs_2025!J67),NA())),NA())</f>
        <v>1.28019499778747</v>
      </c>
      <c r="H151" s="2">
        <f>IFERROR(IF($B$3="All",IF($E$3="2024",WHR_Comparison_2024_vs_2025!B67,WHR_Comparison_2024_vs_2025!I67),IF(WHR_Comparison_2024_vs_2025!A67=$B$3,IF($E$3="2024",WHR_Comparison_2024_vs_2025!B67,WHR_Comparison_2024_vs_2025!I67),NA())),NA())</f>
        <v>5.8417000770568803</v>
      </c>
      <c r="I151" s="2">
        <f>IFERROR(IF($B$3="All",IF($E$3="2024",WHR_Comparison_2024_vs_2025!F67,WHR_Comparison_2024_vs_2025!M67),IF(WHR_Comparison_2024_vs_2025!A67=$B$3,IF($E$3="2024",WHR_Comparison_2024_vs_2025!F67,WHR_Comparison_2024_vs_2025!M67),NA())),NA())</f>
        <v>0.64691823720931996</v>
      </c>
      <c r="J151" s="33">
        <f>IFERROR(IF($B$3="All",IF($E$3="2024",WHR_Comparison_2024_vs_2025!B67,WHR_Comparison_2024_vs_2025!I67),IF(WHR_Comparison_2024_vs_2025!A67=$B$3,IF($E$3="2024",WHR_Comparison_2024_vs_2025!B67,WHR_Comparison_2024_vs_2025!I67),NA())),NA())</f>
        <v>5.8417000770568803</v>
      </c>
    </row>
    <row r="152" spans="1:10" x14ac:dyDescent="0.3">
      <c r="A152" s="32" t="str">
        <f>IF($B$3="All",WHR_Comparison_2024_vs_2025!A68,IF(WHR_Comparison_2024_vs_2025!A68=$B$3,WHR_Comparison_2024_vs_2025!A68,NA()))</f>
        <v>Bolivia</v>
      </c>
      <c r="B152" s="2">
        <f>IFERROR(IF($B$3="All",WHR_Comparison_2024_vs_2025!B68,IF(WHR_Comparison_2024_vs_2025!A68=$B$3,WHR_Comparison_2024_vs_2025!B68,NA())),NA())</f>
        <v>5.6842999458312899</v>
      </c>
      <c r="C152" s="2">
        <f>IFERROR(IF($B$3="All",WHR_Comparison_2024_vs_2025!I68,IF(WHR_Comparison_2024_vs_2025!A68=$B$3,WHR_Comparison_2024_vs_2025!I68,NA())),NA())</f>
        <v>5.7842998504638601</v>
      </c>
      <c r="D152" s="2">
        <f>IFERROR(IF($B$3="All",WHR_Comparison_2024_vs_2025!P68,IF(WHR_Comparison_2024_vs_2025!A68=$B$3,WHR_Comparison_2024_vs_2025!P68,NA())),NA())</f>
        <v>0.1</v>
      </c>
      <c r="E152" s="2"/>
      <c r="F152" s="2"/>
      <c r="G152" s="2">
        <f>IFERROR(IF($B$3="All",IF($E$3="2024",WHR_Comparison_2024_vs_2025!C68,WHR_Comparison_2024_vs_2025!J68),IF(WHR_Comparison_2024_vs_2025!A68=$B$3,IF($E$3="2024",WHR_Comparison_2024_vs_2025!C68,WHR_Comparison_2024_vs_2025!J68),NA())),NA())</f>
        <v>1.21705257892608</v>
      </c>
      <c r="H152" s="2">
        <f>IFERROR(IF($B$3="All",IF($E$3="2024",WHR_Comparison_2024_vs_2025!B68,WHR_Comparison_2024_vs_2025!I68),IF(WHR_Comparison_2024_vs_2025!A68=$B$3,IF($E$3="2024",WHR_Comparison_2024_vs_2025!B68,WHR_Comparison_2024_vs_2025!I68),NA())),NA())</f>
        <v>5.7842998504638601</v>
      </c>
      <c r="I152" s="2">
        <f>IFERROR(IF($B$3="All",IF($E$3="2024",WHR_Comparison_2024_vs_2025!F68,WHR_Comparison_2024_vs_2025!M68),IF(WHR_Comparison_2024_vs_2025!A68=$B$3,IF($E$3="2024",WHR_Comparison_2024_vs_2025!F68,WHR_Comparison_2024_vs_2025!M68),NA())),NA())</f>
        <v>0.71946114301681496</v>
      </c>
      <c r="J152" s="33">
        <f>IFERROR(IF($B$3="All",IF($E$3="2024",WHR_Comparison_2024_vs_2025!B68,WHR_Comparison_2024_vs_2025!I68),IF(WHR_Comparison_2024_vs_2025!A68=$B$3,IF($E$3="2024",WHR_Comparison_2024_vs_2025!B68,WHR_Comparison_2024_vs_2025!I68),NA())),NA())</f>
        <v>5.7842998504638601</v>
      </c>
    </row>
    <row r="153" spans="1:10" x14ac:dyDescent="0.3">
      <c r="A153" s="32" t="str">
        <f>IF($B$3="All",WHR_Comparison_2024_vs_2025!A69,IF(WHR_Comparison_2024_vs_2025!A69=$B$3,WHR_Comparison_2024_vs_2025!A69,NA()))</f>
        <v>Russia</v>
      </c>
      <c r="B153" s="2">
        <f>IFERROR(IF($B$3="All",WHR_Comparison_2024_vs_2025!B69,IF(WHR_Comparison_2024_vs_2025!A69=$B$3,WHR_Comparison_2024_vs_2025!B69,NA())),NA())</f>
        <v>5.6606998443603498</v>
      </c>
      <c r="C153" s="2">
        <f>IFERROR(IF($B$3="All",WHR_Comparison_2024_vs_2025!I69,IF(WHR_Comparison_2024_vs_2025!A69=$B$3,WHR_Comparison_2024_vs_2025!I69,NA())),NA())</f>
        <v>5.7852997779846103</v>
      </c>
      <c r="D153" s="2">
        <f>IFERROR(IF($B$3="All",WHR_Comparison_2024_vs_2025!P69,IF(WHR_Comparison_2024_vs_2025!A69=$B$3,WHR_Comparison_2024_vs_2025!P69,NA())),NA())</f>
        <v>0.1246</v>
      </c>
      <c r="E153" s="2"/>
      <c r="F153" s="2"/>
      <c r="G153" s="2">
        <f>IFERROR(IF($B$3="All",IF($E$3="2024",WHR_Comparison_2024_vs_2025!C69,WHR_Comparison_2024_vs_2025!J69),IF(WHR_Comparison_2024_vs_2025!A69=$B$3,IF($E$3="2024",WHR_Comparison_2024_vs_2025!C69,WHR_Comparison_2024_vs_2025!J69),NA())),NA())</f>
        <v>1.6421922445297199</v>
      </c>
      <c r="H153" s="2">
        <f>IFERROR(IF($B$3="All",IF($E$3="2024",WHR_Comparison_2024_vs_2025!B69,WHR_Comparison_2024_vs_2025!I69),IF(WHR_Comparison_2024_vs_2025!A69=$B$3,IF($E$3="2024",WHR_Comparison_2024_vs_2025!B69,WHR_Comparison_2024_vs_2025!I69),NA())),NA())</f>
        <v>5.7852997779846103</v>
      </c>
      <c r="I153" s="2">
        <f>IFERROR(IF($B$3="All",IF($E$3="2024",WHR_Comparison_2024_vs_2025!F69,WHR_Comparison_2024_vs_2025!M69),IF(WHR_Comparison_2024_vs_2025!A69=$B$3,IF($E$3="2024",WHR_Comparison_2024_vs_2025!F69,WHR_Comparison_2024_vs_2025!M69),NA())),NA())</f>
        <v>0.55145341157913197</v>
      </c>
      <c r="J153" s="33">
        <f>IFERROR(IF($B$3="All",IF($E$3="2024",WHR_Comparison_2024_vs_2025!B69,WHR_Comparison_2024_vs_2025!I69),IF(WHR_Comparison_2024_vs_2025!A69=$B$3,IF($E$3="2024",WHR_Comparison_2024_vs_2025!B69,WHR_Comparison_2024_vs_2025!I69),NA())),NA())</f>
        <v>5.7852997779846103</v>
      </c>
    </row>
    <row r="154" spans="1:10" x14ac:dyDescent="0.3">
      <c r="A154" s="32" t="str">
        <f>IF($B$3="All",WHR_Comparison_2024_vs_2025!A70,IF(WHR_Comparison_2024_vs_2025!A70=$B$3,WHR_Comparison_2024_vs_2025!A70,NA()))</f>
        <v>Bosnia and Herzegovina</v>
      </c>
      <c r="B154" s="2">
        <f>IFERROR(IF($B$3="All",WHR_Comparison_2024_vs_2025!B70,IF(WHR_Comparison_2024_vs_2025!A70=$B$3,WHR_Comparison_2024_vs_2025!B70,NA())),NA())</f>
        <v>5.6325001716613698</v>
      </c>
      <c r="C154" s="2">
        <f>IFERROR(IF($B$3="All",WHR_Comparison_2024_vs_2025!I70,IF(WHR_Comparison_2024_vs_2025!A70=$B$3,WHR_Comparison_2024_vs_2025!I70,NA())),NA())</f>
        <v>5.8769998550415004</v>
      </c>
      <c r="D154" s="2">
        <f>IFERROR(IF($B$3="All",WHR_Comparison_2024_vs_2025!P70,IF(WHR_Comparison_2024_vs_2025!A70=$B$3,WHR_Comparison_2024_vs_2025!P70,NA())),NA())</f>
        <v>0.2445</v>
      </c>
      <c r="E154" s="2"/>
      <c r="F154" s="2"/>
      <c r="G154" s="2">
        <f>IFERROR(IF($B$3="All",IF($E$3="2024",WHR_Comparison_2024_vs_2025!C70,WHR_Comparison_2024_vs_2025!J70),IF(WHR_Comparison_2024_vs_2025!A70=$B$3,IF($E$3="2024",WHR_Comparison_2024_vs_2025!C70,WHR_Comparison_2024_vs_2025!J70),NA())),NA())</f>
        <v>1.4647413492202701</v>
      </c>
      <c r="H154" s="2">
        <f>IFERROR(IF($B$3="All",IF($E$3="2024",WHR_Comparison_2024_vs_2025!B70,WHR_Comparison_2024_vs_2025!I70),IF(WHR_Comparison_2024_vs_2025!A70=$B$3,IF($E$3="2024",WHR_Comparison_2024_vs_2025!B70,WHR_Comparison_2024_vs_2025!I70),NA())),NA())</f>
        <v>5.8769998550415004</v>
      </c>
      <c r="I154" s="2">
        <f>IFERROR(IF($B$3="All",IF($E$3="2024",WHR_Comparison_2024_vs_2025!F70,WHR_Comparison_2024_vs_2025!M70),IF(WHR_Comparison_2024_vs_2025!A70=$B$3,IF($E$3="2024",WHR_Comparison_2024_vs_2025!F70,WHR_Comparison_2024_vs_2025!M70),NA())),NA())</f>
        <v>0.62063795328140203</v>
      </c>
      <c r="J154" s="33">
        <f>IFERROR(IF($B$3="All",IF($E$3="2024",WHR_Comparison_2024_vs_2025!B70,WHR_Comparison_2024_vs_2025!I70),IF(WHR_Comparison_2024_vs_2025!A70=$B$3,IF($E$3="2024",WHR_Comparison_2024_vs_2025!B70,WHR_Comparison_2024_vs_2025!I70),NA())),NA())</f>
        <v>5.8769998550415004</v>
      </c>
    </row>
    <row r="155" spans="1:10" x14ac:dyDescent="0.3">
      <c r="A155" s="32" t="str">
        <f>IF($B$3="All",WHR_Comparison_2024_vs_2025!A71,IF(WHR_Comparison_2024_vs_2025!A71=$B$3,WHR_Comparison_2024_vs_2025!A71,NA()))</f>
        <v>Colombia</v>
      </c>
      <c r="B155" s="2">
        <f>IFERROR(IF($B$3="All",WHR_Comparison_2024_vs_2025!B71,IF(WHR_Comparison_2024_vs_2025!A71=$B$3,WHR_Comparison_2024_vs_2025!B71,NA())),NA())</f>
        <v>5.6304001808166504</v>
      </c>
      <c r="C155" s="2">
        <f>IFERROR(IF($B$3="All",WHR_Comparison_2024_vs_2025!I71,IF(WHR_Comparison_2024_vs_2025!A71=$B$3,WHR_Comparison_2024_vs_2025!I71,NA())),NA())</f>
        <v>5.6950998306274396</v>
      </c>
      <c r="D155" s="2">
        <f>IFERROR(IF($B$3="All",WHR_Comparison_2024_vs_2025!P71,IF(WHR_Comparison_2024_vs_2025!A71=$B$3,WHR_Comparison_2024_vs_2025!P71,NA())),NA())</f>
        <v>6.4699999999999994E-2</v>
      </c>
      <c r="E155" s="2"/>
      <c r="F155" s="2"/>
      <c r="G155" s="2">
        <f>IFERROR(IF($B$3="All",IF($E$3="2024",WHR_Comparison_2024_vs_2025!C71,WHR_Comparison_2024_vs_2025!J71),IF(WHR_Comparison_2024_vs_2025!A71=$B$3,IF($E$3="2024",WHR_Comparison_2024_vs_2025!C71,WHR_Comparison_2024_vs_2025!J71),NA())),NA())</f>
        <v>1.43690550327301</v>
      </c>
      <c r="H155" s="2">
        <f>IFERROR(IF($B$3="All",IF($E$3="2024",WHR_Comparison_2024_vs_2025!B71,WHR_Comparison_2024_vs_2025!I71),IF(WHR_Comparison_2024_vs_2025!A71=$B$3,IF($E$3="2024",WHR_Comparison_2024_vs_2025!B71,WHR_Comparison_2024_vs_2025!I71),NA())),NA())</f>
        <v>5.6950998306274396</v>
      </c>
      <c r="I155" s="2">
        <f>IFERROR(IF($B$3="All",IF($E$3="2024",WHR_Comparison_2024_vs_2025!F71,WHR_Comparison_2024_vs_2025!M71),IF(WHR_Comparison_2024_vs_2025!A71=$B$3,IF($E$3="2024",WHR_Comparison_2024_vs_2025!F71,WHR_Comparison_2024_vs_2025!M71),NA())),NA())</f>
        <v>0.64391934871673495</v>
      </c>
      <c r="J155" s="33">
        <f>IFERROR(IF($B$3="All",IF($E$3="2024",WHR_Comparison_2024_vs_2025!B71,WHR_Comparison_2024_vs_2025!I71),IF(WHR_Comparison_2024_vs_2025!A71=$B$3,IF($E$3="2024",WHR_Comparison_2024_vs_2025!B71,WHR_Comparison_2024_vs_2025!I71),NA())),NA())</f>
        <v>5.6950998306274396</v>
      </c>
    </row>
    <row r="156" spans="1:10" x14ac:dyDescent="0.3">
      <c r="A156" s="32" t="str">
        <f>IF($B$3="All",WHR_Comparison_2024_vs_2025!A72,IF(WHR_Comparison_2024_vs_2025!A72=$B$3,WHR_Comparison_2024_vs_2025!A72,NA()))</f>
        <v>Dominican Republic</v>
      </c>
      <c r="B156" s="2">
        <f>IFERROR(IF($B$3="All",WHR_Comparison_2024_vs_2025!B72,IF(WHR_Comparison_2024_vs_2025!A72=$B$3,WHR_Comparison_2024_vs_2025!B72,NA())),NA())</f>
        <v>5.5689001083373997</v>
      </c>
      <c r="C156" s="2">
        <f>IFERROR(IF($B$3="All",WHR_Comparison_2024_vs_2025!I72,IF(WHR_Comparison_2024_vs_2025!A72=$B$3,WHR_Comparison_2024_vs_2025!I72,NA())),NA())</f>
        <v>5.8228001594543404</v>
      </c>
      <c r="D156" s="2">
        <f>IFERROR(IF($B$3="All",WHR_Comparison_2024_vs_2025!P72,IF(WHR_Comparison_2024_vs_2025!A72=$B$3,WHR_Comparison_2024_vs_2025!P72,NA())),NA())</f>
        <v>0.25390000000000001</v>
      </c>
      <c r="E156" s="2"/>
      <c r="F156" s="2"/>
      <c r="G156" s="2">
        <f>IFERROR(IF($B$3="All",IF($E$3="2024",WHR_Comparison_2024_vs_2025!C72,WHR_Comparison_2024_vs_2025!J72),IF(WHR_Comparison_2024_vs_2025!A72=$B$3,IF($E$3="2024",WHR_Comparison_2024_vs_2025!C72,WHR_Comparison_2024_vs_2025!J72),NA())),NA())</f>
        <v>1.5166972875595</v>
      </c>
      <c r="H156" s="2">
        <f>IFERROR(IF($B$3="All",IF($E$3="2024",WHR_Comparison_2024_vs_2025!B72,WHR_Comparison_2024_vs_2025!I72),IF(WHR_Comparison_2024_vs_2025!A72=$B$3,IF($E$3="2024",WHR_Comparison_2024_vs_2025!B72,WHR_Comparison_2024_vs_2025!I72),NA())),NA())</f>
        <v>5.8228001594543404</v>
      </c>
      <c r="I156" s="2">
        <f>IFERROR(IF($B$3="All",IF($E$3="2024",WHR_Comparison_2024_vs_2025!F72,WHR_Comparison_2024_vs_2025!M72),IF(WHR_Comparison_2024_vs_2025!A72=$B$3,IF($E$3="2024",WHR_Comparison_2024_vs_2025!F72,WHR_Comparison_2024_vs_2025!M72),NA())),NA())</f>
        <v>0.729894399642944</v>
      </c>
      <c r="J156" s="33">
        <f>IFERROR(IF($B$3="All",IF($E$3="2024",WHR_Comparison_2024_vs_2025!B72,WHR_Comparison_2024_vs_2025!I72),IF(WHR_Comparison_2024_vs_2025!A72=$B$3,IF($E$3="2024",WHR_Comparison_2024_vs_2025!B72,WHR_Comparison_2024_vs_2025!I72),NA())),NA())</f>
        <v>5.8228001594543404</v>
      </c>
    </row>
    <row r="157" spans="1:10" x14ac:dyDescent="0.3">
      <c r="A157" s="32" t="str">
        <f>IF($B$3="All",WHR_Comparison_2024_vs_2025!A73,IF(WHR_Comparison_2024_vs_2025!A73=$B$3,WHR_Comparison_2024_vs_2025!A73,NA()))</f>
        <v>Ecuador</v>
      </c>
      <c r="B157" s="2">
        <f>IFERROR(IF($B$3="All",WHR_Comparison_2024_vs_2025!B73,IF(WHR_Comparison_2024_vs_2025!A73=$B$3,WHR_Comparison_2024_vs_2025!B73,NA())),NA())</f>
        <v>5.5588998794555602</v>
      </c>
      <c r="C157" s="2">
        <f>IFERROR(IF($B$3="All",WHR_Comparison_2024_vs_2025!I73,IF(WHR_Comparison_2024_vs_2025!A73=$B$3,WHR_Comparison_2024_vs_2025!I73,NA())),NA())</f>
        <v>5.7245001792907697</v>
      </c>
      <c r="D157" s="2">
        <f>IFERROR(IF($B$3="All",WHR_Comparison_2024_vs_2025!P73,IF(WHR_Comparison_2024_vs_2025!A73=$B$3,WHR_Comparison_2024_vs_2025!P73,NA())),NA())</f>
        <v>0.1656</v>
      </c>
      <c r="E157" s="2"/>
      <c r="F157" s="2"/>
      <c r="G157" s="2">
        <f>IFERROR(IF($B$3="All",IF($E$3="2024",WHR_Comparison_2024_vs_2025!C73,WHR_Comparison_2024_vs_2025!J73),IF(WHR_Comparison_2024_vs_2025!A73=$B$3,IF($E$3="2024",WHR_Comparison_2024_vs_2025!C73,WHR_Comparison_2024_vs_2025!J73),NA())),NA())</f>
        <v>1.31546771526336</v>
      </c>
      <c r="H157" s="2">
        <f>IFERROR(IF($B$3="All",IF($E$3="2024",WHR_Comparison_2024_vs_2025!B73,WHR_Comparison_2024_vs_2025!I73),IF(WHR_Comparison_2024_vs_2025!A73=$B$3,IF($E$3="2024",WHR_Comparison_2024_vs_2025!B73,WHR_Comparison_2024_vs_2025!I73),NA())),NA())</f>
        <v>5.7245001792907697</v>
      </c>
      <c r="I157" s="2">
        <f>IFERROR(IF($B$3="All",IF($E$3="2024",WHR_Comparison_2024_vs_2025!F73,WHR_Comparison_2024_vs_2025!M73),IF(WHR_Comparison_2024_vs_2025!A73=$B$3,IF($E$3="2024",WHR_Comparison_2024_vs_2025!F73,WHR_Comparison_2024_vs_2025!M73),NA())),NA())</f>
        <v>0.60608112812042203</v>
      </c>
      <c r="J157" s="33">
        <f>IFERROR(IF($B$3="All",IF($E$3="2024",WHR_Comparison_2024_vs_2025!B73,WHR_Comparison_2024_vs_2025!I73),IF(WHR_Comparison_2024_vs_2025!A73=$B$3,IF($E$3="2024",WHR_Comparison_2024_vs_2025!B73,WHR_Comparison_2024_vs_2025!I73),NA())),NA())</f>
        <v>5.7245001792907697</v>
      </c>
    </row>
    <row r="158" spans="1:10" x14ac:dyDescent="0.3">
      <c r="A158" s="32" t="str">
        <f>IF($B$3="All",WHR_Comparison_2024_vs_2025!A74,IF(WHR_Comparison_2024_vs_2025!A74=$B$3,WHR_Comparison_2024_vs_2025!A74,NA()))</f>
        <v>Peru</v>
      </c>
      <c r="B158" s="2">
        <f>IFERROR(IF($B$3="All",WHR_Comparison_2024_vs_2025!B74,IF(WHR_Comparison_2024_vs_2025!A74=$B$3,WHR_Comparison_2024_vs_2025!B74,NA())),NA())</f>
        <v>5.52589988708496</v>
      </c>
      <c r="C158" s="2">
        <f>IFERROR(IF($B$3="All",WHR_Comparison_2024_vs_2025!I74,IF(WHR_Comparison_2024_vs_2025!A74=$B$3,WHR_Comparison_2024_vs_2025!I74,NA())),NA())</f>
        <v>5.8408999443054199</v>
      </c>
      <c r="D158" s="2">
        <f>IFERROR(IF($B$3="All",WHR_Comparison_2024_vs_2025!P74,IF(WHR_Comparison_2024_vs_2025!A74=$B$3,WHR_Comparison_2024_vs_2025!P74,NA())),NA())</f>
        <v>0.315</v>
      </c>
      <c r="E158" s="2"/>
      <c r="F158" s="2"/>
      <c r="G158" s="2">
        <f>IFERROR(IF($B$3="All",IF($E$3="2024",WHR_Comparison_2024_vs_2025!C74,WHR_Comparison_2024_vs_2025!J74),IF(WHR_Comparison_2024_vs_2025!A74=$B$3,IF($E$3="2024",WHR_Comparison_2024_vs_2025!C74,WHR_Comparison_2024_vs_2025!J74),NA())),NA())</f>
        <v>1.3706018924713099</v>
      </c>
      <c r="H158" s="2">
        <f>IFERROR(IF($B$3="All",IF($E$3="2024",WHR_Comparison_2024_vs_2025!B74,WHR_Comparison_2024_vs_2025!I74),IF(WHR_Comparison_2024_vs_2025!A74=$B$3,IF($E$3="2024",WHR_Comparison_2024_vs_2025!B74,WHR_Comparison_2024_vs_2025!I74),NA())),NA())</f>
        <v>5.8408999443054199</v>
      </c>
      <c r="I158" s="2">
        <f>IFERROR(IF($B$3="All",IF($E$3="2024",WHR_Comparison_2024_vs_2025!F74,WHR_Comparison_2024_vs_2025!M74),IF(WHR_Comparison_2024_vs_2025!A74=$B$3,IF($E$3="2024",WHR_Comparison_2024_vs_2025!F74,WHR_Comparison_2024_vs_2025!M74),NA())),NA())</f>
        <v>0.61484372615814198</v>
      </c>
      <c r="J158" s="33">
        <f>IFERROR(IF($B$3="All",IF($E$3="2024",WHR_Comparison_2024_vs_2025!B74,WHR_Comparison_2024_vs_2025!I74),IF(WHR_Comparison_2024_vs_2025!A74=$B$3,IF($E$3="2024",WHR_Comparison_2024_vs_2025!B74,WHR_Comparison_2024_vs_2025!I74),NA())),NA())</f>
        <v>5.8408999443054199</v>
      </c>
    </row>
    <row r="159" spans="1:10" x14ac:dyDescent="0.3">
      <c r="A159" s="32" t="str">
        <f>IF($B$3="All",WHR_Comparison_2024_vs_2025!A75,IF(WHR_Comparison_2024_vs_2025!A75=$B$3,WHR_Comparison_2024_vs_2025!A75,NA()))</f>
        <v>Philippines</v>
      </c>
      <c r="B159" s="2">
        <f>IFERROR(IF($B$3="All",WHR_Comparison_2024_vs_2025!B75,IF(WHR_Comparison_2024_vs_2025!A75=$B$3,WHR_Comparison_2024_vs_2025!B75,NA())),NA())</f>
        <v>5.5229001045226997</v>
      </c>
      <c r="C159" s="2">
        <f>IFERROR(IF($B$3="All",WHR_Comparison_2024_vs_2025!I75,IF(WHR_Comparison_2024_vs_2025!A75=$B$3,WHR_Comparison_2024_vs_2025!I75,NA())),NA())</f>
        <v>6.0475997924804599</v>
      </c>
      <c r="D159" s="2">
        <f>IFERROR(IF($B$3="All",WHR_Comparison_2024_vs_2025!P75,IF(WHR_Comparison_2024_vs_2025!A75=$B$3,WHR_Comparison_2024_vs_2025!P75,NA())),NA())</f>
        <v>0.52470000000000006</v>
      </c>
      <c r="E159" s="2"/>
      <c r="F159" s="2"/>
      <c r="G159" s="2">
        <f>IFERROR(IF($B$3="All",IF($E$3="2024",WHR_Comparison_2024_vs_2025!C75,WHR_Comparison_2024_vs_2025!J75),IF(WHR_Comparison_2024_vs_2025!A75=$B$3,IF($E$3="2024",WHR_Comparison_2024_vs_2025!C75,WHR_Comparison_2024_vs_2025!J75),NA())),NA())</f>
        <v>1.23194003105163</v>
      </c>
      <c r="H159" s="2">
        <f>IFERROR(IF($B$3="All",IF($E$3="2024",WHR_Comparison_2024_vs_2025!B75,WHR_Comparison_2024_vs_2025!I75),IF(WHR_Comparison_2024_vs_2025!A75=$B$3,IF($E$3="2024",WHR_Comparison_2024_vs_2025!B75,WHR_Comparison_2024_vs_2025!I75),NA())),NA())</f>
        <v>6.0475997924804599</v>
      </c>
      <c r="I159" s="2">
        <f>IFERROR(IF($B$3="All",IF($E$3="2024",WHR_Comparison_2024_vs_2025!F75,WHR_Comparison_2024_vs_2025!M75),IF(WHR_Comparison_2024_vs_2025!A75=$B$3,IF($E$3="2024",WHR_Comparison_2024_vs_2025!F75,WHR_Comparison_2024_vs_2025!M75),NA())),NA())</f>
        <v>0.82627832889556796</v>
      </c>
      <c r="J159" s="33">
        <f>IFERROR(IF($B$3="All",IF($E$3="2024",WHR_Comparison_2024_vs_2025!B75,WHR_Comparison_2024_vs_2025!I75),IF(WHR_Comparison_2024_vs_2025!A75=$B$3,IF($E$3="2024",WHR_Comparison_2024_vs_2025!B75,WHR_Comparison_2024_vs_2025!I75),NA())),NA())</f>
        <v>6.0475997924804599</v>
      </c>
    </row>
    <row r="160" spans="1:10" x14ac:dyDescent="0.3">
      <c r="A160" s="32" t="str">
        <f>IF($B$3="All",WHR_Comparison_2024_vs_2025!A76,IF(WHR_Comparison_2024_vs_2025!A76=$B$3,WHR_Comparison_2024_vs_2025!A76,NA()))</f>
        <v>Bulgaria</v>
      </c>
      <c r="B160" s="2">
        <f>IFERROR(IF($B$3="All",WHR_Comparison_2024_vs_2025!B76,IF(WHR_Comparison_2024_vs_2025!A76=$B$3,WHR_Comparison_2024_vs_2025!B76,NA())),NA())</f>
        <v>5.4661002159118599</v>
      </c>
      <c r="C160" s="2">
        <f>IFERROR(IF($B$3="All",WHR_Comparison_2024_vs_2025!I76,IF(WHR_Comparison_2024_vs_2025!A76=$B$3,WHR_Comparison_2024_vs_2025!I76,NA())),NA())</f>
        <v>5.4626998901367099</v>
      </c>
      <c r="D160" s="2">
        <f>IFERROR(IF($B$3="All",WHR_Comparison_2024_vs_2025!P76,IF(WHR_Comparison_2024_vs_2025!A76=$B$3,WHR_Comparison_2024_vs_2025!P76,NA())),NA())</f>
        <v>-3.3999999999999998E-3</v>
      </c>
      <c r="E160" s="2"/>
      <c r="F160" s="2"/>
      <c r="G160" s="2">
        <f>IFERROR(IF($B$3="All",IF($E$3="2024",WHR_Comparison_2024_vs_2025!C76,WHR_Comparison_2024_vs_2025!J76),IF(WHR_Comparison_2024_vs_2025!A76=$B$3,IF($E$3="2024",WHR_Comparison_2024_vs_2025!C76,WHR_Comparison_2024_vs_2025!J76),NA())),NA())</f>
        <v>1.6293822526931701</v>
      </c>
      <c r="H160" s="2">
        <f>IFERROR(IF($B$3="All",IF($E$3="2024",WHR_Comparison_2024_vs_2025!B76,WHR_Comparison_2024_vs_2025!I76),IF(WHR_Comparison_2024_vs_2025!A76=$B$3,IF($E$3="2024",WHR_Comparison_2024_vs_2025!B76,WHR_Comparison_2024_vs_2025!I76),NA())),NA())</f>
        <v>5.4626998901367099</v>
      </c>
      <c r="I160" s="2">
        <f>IFERROR(IF($B$3="All",IF($E$3="2024",WHR_Comparison_2024_vs_2025!F76,WHR_Comparison_2024_vs_2025!M76),IF(WHR_Comparison_2024_vs_2025!A76=$B$3,IF($E$3="2024",WHR_Comparison_2024_vs_2025!F76,WHR_Comparison_2024_vs_2025!M76),NA())),NA())</f>
        <v>0.62039607763290405</v>
      </c>
      <c r="J160" s="33">
        <f>IFERROR(IF($B$3="All",IF($E$3="2024",WHR_Comparison_2024_vs_2025!B76,WHR_Comparison_2024_vs_2025!I76),IF(WHR_Comparison_2024_vs_2025!A76=$B$3,IF($E$3="2024",WHR_Comparison_2024_vs_2025!B76,WHR_Comparison_2024_vs_2025!I76),NA())),NA())</f>
        <v>5.4626998901367099</v>
      </c>
    </row>
    <row r="161" spans="1:10" x14ac:dyDescent="0.3">
      <c r="A161" s="32" t="str">
        <f>IF($B$3="All",WHR_Comparison_2024_vs_2025!A77,IF(WHR_Comparison_2024_vs_2025!A77=$B$3,WHR_Comparison_2024_vs_2025!A77,NA()))</f>
        <v>Nepal</v>
      </c>
      <c r="B161" s="2">
        <f>IFERROR(IF($B$3="All",WHR_Comparison_2024_vs_2025!B77,IF(WHR_Comparison_2024_vs_2025!A77=$B$3,WHR_Comparison_2024_vs_2025!B77,NA())),NA())</f>
        <v>5.3603000640869096</v>
      </c>
      <c r="C161" s="2">
        <f>IFERROR(IF($B$3="All",WHR_Comparison_2024_vs_2025!I77,IF(WHR_Comparison_2024_vs_2025!A77=$B$3,WHR_Comparison_2024_vs_2025!I77,NA())),NA())</f>
        <v>5.1584000587463299</v>
      </c>
      <c r="D161" s="2">
        <f>IFERROR(IF($B$3="All",WHR_Comparison_2024_vs_2025!P77,IF(WHR_Comparison_2024_vs_2025!A77=$B$3,WHR_Comparison_2024_vs_2025!P77,NA())),NA())</f>
        <v>-0.2019</v>
      </c>
      <c r="E161" s="2"/>
      <c r="F161" s="2"/>
      <c r="G161" s="2">
        <f>IFERROR(IF($B$3="All",IF($E$3="2024",WHR_Comparison_2024_vs_2025!C77,WHR_Comparison_2024_vs_2025!J77),IF(WHR_Comparison_2024_vs_2025!A77=$B$3,IF($E$3="2024",WHR_Comparison_2024_vs_2025!C77,WHR_Comparison_2024_vs_2025!J77),NA())),NA())</f>
        <v>0.96536391973495395</v>
      </c>
      <c r="H161" s="2">
        <f>IFERROR(IF($B$3="All",IF($E$3="2024",WHR_Comparison_2024_vs_2025!B77,WHR_Comparison_2024_vs_2025!I77),IF(WHR_Comparison_2024_vs_2025!A77=$B$3,IF($E$3="2024",WHR_Comparison_2024_vs_2025!B77,WHR_Comparison_2024_vs_2025!I77),NA())),NA())</f>
        <v>5.1584000587463299</v>
      </c>
      <c r="I161" s="2">
        <f>IFERROR(IF($B$3="All",IF($E$3="2024",WHR_Comparison_2024_vs_2025!F77,WHR_Comparison_2024_vs_2025!M77),IF(WHR_Comparison_2024_vs_2025!A77=$B$3,IF($E$3="2024",WHR_Comparison_2024_vs_2025!F77,WHR_Comparison_2024_vs_2025!M77),NA())),NA())</f>
        <v>0.65291428565979004</v>
      </c>
      <c r="J161" s="33">
        <f>IFERROR(IF($B$3="All",IF($E$3="2024",WHR_Comparison_2024_vs_2025!B77,WHR_Comparison_2024_vs_2025!I77),IF(WHR_Comparison_2024_vs_2025!A77=$B$3,IF($E$3="2024",WHR_Comparison_2024_vs_2025!B77,WHR_Comparison_2024_vs_2025!I77),NA())),NA())</f>
        <v>5.1584000587463299</v>
      </c>
    </row>
    <row r="162" spans="1:10" x14ac:dyDescent="0.3">
      <c r="A162" s="32" t="str">
        <f>IF($B$3="All",WHR_Comparison_2024_vs_2025!A78,IF(WHR_Comparison_2024_vs_2025!A78=$B$3,WHR_Comparison_2024_vs_2025!A78,NA()))</f>
        <v>Armenia</v>
      </c>
      <c r="B162" s="2">
        <f>IFERROR(IF($B$3="All",WHR_Comparison_2024_vs_2025!B78,IF(WHR_Comparison_2024_vs_2025!A78=$B$3,WHR_Comparison_2024_vs_2025!B78,NA())),NA())</f>
        <v>5.3417000770568803</v>
      </c>
      <c r="C162" s="2">
        <f>IFERROR(IF($B$3="All",WHR_Comparison_2024_vs_2025!I78,IF(WHR_Comparison_2024_vs_2025!A78=$B$3,WHR_Comparison_2024_vs_2025!I78,NA())),NA())</f>
        <v>5.4548997879028303</v>
      </c>
      <c r="D162" s="2">
        <f>IFERROR(IF($B$3="All",WHR_Comparison_2024_vs_2025!P78,IF(WHR_Comparison_2024_vs_2025!A78=$B$3,WHR_Comparison_2024_vs_2025!P78,NA())),NA())</f>
        <v>0.1132</v>
      </c>
      <c r="E162" s="2"/>
      <c r="F162" s="2"/>
      <c r="G162" s="2">
        <f>IFERROR(IF($B$3="All",IF($E$3="2024",WHR_Comparison_2024_vs_2025!C78,WHR_Comparison_2024_vs_2025!J78),IF(WHR_Comparison_2024_vs_2025!A78=$B$3,IF($E$3="2024",WHR_Comparison_2024_vs_2025!C78,WHR_Comparison_2024_vs_2025!J78),NA())),NA())</f>
        <v>1.4435883760452199</v>
      </c>
      <c r="H162" s="2">
        <f>IFERROR(IF($B$3="All",IF($E$3="2024",WHR_Comparison_2024_vs_2025!B78,WHR_Comparison_2024_vs_2025!I78),IF(WHR_Comparison_2024_vs_2025!A78=$B$3,IF($E$3="2024",WHR_Comparison_2024_vs_2025!B78,WHR_Comparison_2024_vs_2025!I78),NA())),NA())</f>
        <v>5.4548997879028303</v>
      </c>
      <c r="I162" s="2">
        <f>IFERROR(IF($B$3="All",IF($E$3="2024",WHR_Comparison_2024_vs_2025!F78,WHR_Comparison_2024_vs_2025!M78),IF(WHR_Comparison_2024_vs_2025!A78=$B$3,IF($E$3="2024",WHR_Comparison_2024_vs_2025!F78,WHR_Comparison_2024_vs_2025!M78),NA())),NA())</f>
        <v>0.65023398399353005</v>
      </c>
      <c r="J162" s="33">
        <f>IFERROR(IF($B$3="All",IF($E$3="2024",WHR_Comparison_2024_vs_2025!B78,WHR_Comparison_2024_vs_2025!I78),IF(WHR_Comparison_2024_vs_2025!A78=$B$3,IF($E$3="2024",WHR_Comparison_2024_vs_2025!B78,WHR_Comparison_2024_vs_2025!I78),NA())),NA())</f>
        <v>5.4548997879028303</v>
      </c>
    </row>
    <row r="163" spans="1:10" x14ac:dyDescent="0.3">
      <c r="A163" s="32" t="str">
        <f>IF($B$3="All",WHR_Comparison_2024_vs_2025!A79,IF(WHR_Comparison_2024_vs_2025!A79=$B$3,WHR_Comparison_2024_vs_2025!A79,NA()))</f>
        <v>Tajikistan</v>
      </c>
      <c r="B163" s="2">
        <f>IFERROR(IF($B$3="All",WHR_Comparison_2024_vs_2025!B79,IF(WHR_Comparison_2024_vs_2025!A79=$B$3,WHR_Comparison_2024_vs_2025!B79,NA())),NA())</f>
        <v>5.3298001289367596</v>
      </c>
      <c r="C163" s="2">
        <f>IFERROR(IF($B$3="All",WHR_Comparison_2024_vs_2025!I79,IF(WHR_Comparison_2024_vs_2025!A79=$B$3,WHR_Comparison_2024_vs_2025!I79,NA())),NA())</f>
        <v>5.28070020675659</v>
      </c>
      <c r="D163" s="2">
        <f>IFERROR(IF($B$3="All",WHR_Comparison_2024_vs_2025!P79,IF(WHR_Comparison_2024_vs_2025!A79=$B$3,WHR_Comparison_2024_vs_2025!P79,NA())),NA())</f>
        <v>-4.9099999999999998E-2</v>
      </c>
      <c r="E163" s="2"/>
      <c r="F163" s="2"/>
      <c r="G163" s="2">
        <f>IFERROR(IF($B$3="All",IF($E$3="2024",WHR_Comparison_2024_vs_2025!C79,WHR_Comparison_2024_vs_2025!J79),IF(WHR_Comparison_2024_vs_2025!A79=$B$3,IF($E$3="2024",WHR_Comparison_2024_vs_2025!C79,WHR_Comparison_2024_vs_2025!J79),NA())),NA())</f>
        <v>0</v>
      </c>
      <c r="H163" s="2">
        <f>IFERROR(IF($B$3="All",IF($E$3="2024",WHR_Comparison_2024_vs_2025!B79,WHR_Comparison_2024_vs_2025!I79),IF(WHR_Comparison_2024_vs_2025!A79=$B$3,IF($E$3="2024",WHR_Comparison_2024_vs_2025!B79,WHR_Comparison_2024_vs_2025!I79),NA())),NA())</f>
        <v>5.28070020675659</v>
      </c>
      <c r="I163" s="2">
        <f>IFERROR(IF($B$3="All",IF($E$3="2024",WHR_Comparison_2024_vs_2025!F79,WHR_Comparison_2024_vs_2025!M79),IF(WHR_Comparison_2024_vs_2025!A79=$B$3,IF($E$3="2024",WHR_Comparison_2024_vs_2025!F79,WHR_Comparison_2024_vs_2025!M79),NA())),NA())</f>
        <v>0</v>
      </c>
      <c r="J163" s="33">
        <f>IFERROR(IF($B$3="All",IF($E$3="2024",WHR_Comparison_2024_vs_2025!B79,WHR_Comparison_2024_vs_2025!I79),IF(WHR_Comparison_2024_vs_2025!A79=$B$3,IF($E$3="2024",WHR_Comparison_2024_vs_2025!B79,WHR_Comparison_2024_vs_2025!I79),NA())),NA())</f>
        <v>5.28070020675659</v>
      </c>
    </row>
    <row r="164" spans="1:10" x14ac:dyDescent="0.3">
      <c r="A164" s="32" t="str">
        <f>IF($B$3="All",WHR_Comparison_2024_vs_2025!A80,IF(WHR_Comparison_2024_vs_2025!A80=$B$3,WHR_Comparison_2024_vs_2025!A80,NA()))</f>
        <v>Algeria</v>
      </c>
      <c r="B164" s="2">
        <f>IFERROR(IF($B$3="All",WHR_Comparison_2024_vs_2025!B80,IF(WHR_Comparison_2024_vs_2025!A80=$B$3,WHR_Comparison_2024_vs_2025!B80,NA())),NA())</f>
        <v>5.3291001319885201</v>
      </c>
      <c r="C164" s="2">
        <f>IFERROR(IF($B$3="All",WHR_Comparison_2024_vs_2025!I80,IF(WHR_Comparison_2024_vs_2025!A80=$B$3,WHR_Comparison_2024_vs_2025!I80,NA())),NA())</f>
        <v>5.3635001182556099</v>
      </c>
      <c r="D164" s="2">
        <f>IFERROR(IF($B$3="All",WHR_Comparison_2024_vs_2025!P80,IF(WHR_Comparison_2024_vs_2025!A80=$B$3,WHR_Comparison_2024_vs_2025!P80,NA())),NA())</f>
        <v>3.44E-2</v>
      </c>
      <c r="E164" s="2"/>
      <c r="F164" s="2"/>
      <c r="G164" s="2">
        <f>IFERROR(IF($B$3="All",IF($E$3="2024",WHR_Comparison_2024_vs_2025!C80,WHR_Comparison_2024_vs_2025!J80),IF(WHR_Comparison_2024_vs_2025!A80=$B$3,IF($E$3="2024",WHR_Comparison_2024_vs_2025!C80,WHR_Comparison_2024_vs_2025!J80),NA())),NA())</f>
        <v>1.3235404491424501</v>
      </c>
      <c r="H164" s="2">
        <f>IFERROR(IF($B$3="All",IF($E$3="2024",WHR_Comparison_2024_vs_2025!B80,WHR_Comparison_2024_vs_2025!I80),IF(WHR_Comparison_2024_vs_2025!A80=$B$3,IF($E$3="2024",WHR_Comparison_2024_vs_2025!B80,WHR_Comparison_2024_vs_2025!I80),NA())),NA())</f>
        <v>5.3635001182556099</v>
      </c>
      <c r="I164" s="2">
        <f>IFERROR(IF($B$3="All",IF($E$3="2024",WHR_Comparison_2024_vs_2025!F80,WHR_Comparison_2024_vs_2025!M80),IF(WHR_Comparison_2024_vs_2025!A80=$B$3,IF($E$3="2024",WHR_Comparison_2024_vs_2025!F80,WHR_Comparison_2024_vs_2025!M80),NA())),NA())</f>
        <v>0.24701155722141199</v>
      </c>
      <c r="J164" s="33">
        <f>IFERROR(IF($B$3="All",IF($E$3="2024",WHR_Comparison_2024_vs_2025!B80,WHR_Comparison_2024_vs_2025!I80),IF(WHR_Comparison_2024_vs_2025!A80=$B$3,IF($E$3="2024",WHR_Comparison_2024_vs_2025!B80,WHR_Comparison_2024_vs_2025!I80),NA())),NA())</f>
        <v>5.3635001182556099</v>
      </c>
    </row>
    <row r="165" spans="1:10" x14ac:dyDescent="0.3">
      <c r="A165" s="32" t="str">
        <f>IF($B$3="All",WHR_Comparison_2024_vs_2025!A81,IF(WHR_Comparison_2024_vs_2025!A81=$B$3,WHR_Comparison_2024_vs_2025!A81,NA()))</f>
        <v>Hong Kong</v>
      </c>
      <c r="B165" s="2">
        <f>IFERROR(IF($B$3="All",WHR_Comparison_2024_vs_2025!B81,IF(WHR_Comparison_2024_vs_2025!A81=$B$3,WHR_Comparison_2024_vs_2025!B81,NA())),NA())</f>
        <v>5.3084998130798304</v>
      </c>
      <c r="C165" s="2">
        <f>IFERROR(IF($B$3="All",WHR_Comparison_2024_vs_2025!I81,IF(WHR_Comparison_2024_vs_2025!A81=$B$3,WHR_Comparison_2024_vs_2025!I81,NA())),NA())</f>
        <v>5.3164000511169398</v>
      </c>
      <c r="D165" s="2">
        <f>IFERROR(IF($B$3="All",WHR_Comparison_2024_vs_2025!P81,IF(WHR_Comparison_2024_vs_2025!A81=$B$3,WHR_Comparison_2024_vs_2025!P81,NA())),NA())</f>
        <v>7.9000000000000008E-3</v>
      </c>
      <c r="E165" s="2"/>
      <c r="F165" s="2"/>
      <c r="G165" s="2">
        <f>IFERROR(IF($B$3="All",IF($E$3="2024",WHR_Comparison_2024_vs_2025!C81,WHR_Comparison_2024_vs_2025!J81),IF(WHR_Comparison_2024_vs_2025!A81=$B$3,IF($E$3="2024",WHR_Comparison_2024_vs_2025!C81,WHR_Comparison_2024_vs_2025!J81),NA())),NA())</f>
        <v>1.9087110757827701</v>
      </c>
      <c r="H165" s="2">
        <f>IFERROR(IF($B$3="All",IF($E$3="2024",WHR_Comparison_2024_vs_2025!B81,WHR_Comparison_2024_vs_2025!I81),IF(WHR_Comparison_2024_vs_2025!A81=$B$3,IF($E$3="2024",WHR_Comparison_2024_vs_2025!B81,WHR_Comparison_2024_vs_2025!I81),NA())),NA())</f>
        <v>5.3164000511169398</v>
      </c>
      <c r="I165" s="2">
        <f>IFERROR(IF($B$3="All",IF($E$3="2024",WHR_Comparison_2024_vs_2025!F81,WHR_Comparison_2024_vs_2025!M81),IF(WHR_Comparison_2024_vs_2025!A81=$B$3,IF($E$3="2024",WHR_Comparison_2024_vs_2025!F81,WHR_Comparison_2024_vs_2025!M81),NA())),NA())</f>
        <v>0.48470968008041299</v>
      </c>
      <c r="J165" s="33">
        <f>IFERROR(IF($B$3="All",IF($E$3="2024",WHR_Comparison_2024_vs_2025!B81,WHR_Comparison_2024_vs_2025!I81),IF(WHR_Comparison_2024_vs_2025!A81=$B$3,IF($E$3="2024",WHR_Comparison_2024_vs_2025!B81,WHR_Comparison_2024_vs_2025!I81),NA())),NA())</f>
        <v>5.3164000511169398</v>
      </c>
    </row>
    <row r="166" spans="1:10" x14ac:dyDescent="0.3">
      <c r="A166" s="32" t="str">
        <f>IF($B$3="All",WHR_Comparison_2024_vs_2025!A82,IF(WHR_Comparison_2024_vs_2025!A82=$B$3,WHR_Comparison_2024_vs_2025!A82,NA()))</f>
        <v>Albania</v>
      </c>
      <c r="B166" s="2">
        <f>IFERROR(IF($B$3="All",WHR_Comparison_2024_vs_2025!B82,IF(WHR_Comparison_2024_vs_2025!A82=$B$3,WHR_Comparison_2024_vs_2025!B82,NA())),NA())</f>
        <v>5.27729988098144</v>
      </c>
      <c r="C166" s="2">
        <f>IFERROR(IF($B$3="All",WHR_Comparison_2024_vs_2025!I82,IF(WHR_Comparison_2024_vs_2025!A82=$B$3,WHR_Comparison_2024_vs_2025!I82,NA())),NA())</f>
        <v>5.3042001724243102</v>
      </c>
      <c r="D166" s="2">
        <f>IFERROR(IF($B$3="All",WHR_Comparison_2024_vs_2025!P82,IF(WHR_Comparison_2024_vs_2025!A82=$B$3,WHR_Comparison_2024_vs_2025!P82,NA())),NA())</f>
        <v>2.69E-2</v>
      </c>
      <c r="E166" s="2"/>
      <c r="F166" s="2"/>
      <c r="G166" s="2">
        <f>IFERROR(IF($B$3="All",IF($E$3="2024",WHR_Comparison_2024_vs_2025!C82,WHR_Comparison_2024_vs_2025!J82),IF(WHR_Comparison_2024_vs_2025!A82=$B$3,IF($E$3="2024",WHR_Comparison_2024_vs_2025!C82,WHR_Comparison_2024_vs_2025!J82),NA())),NA())</f>
        <v>1.43788886070251</v>
      </c>
      <c r="H166" s="2">
        <f>IFERROR(IF($B$3="All",IF($E$3="2024",WHR_Comparison_2024_vs_2025!B82,WHR_Comparison_2024_vs_2025!I82),IF(WHR_Comparison_2024_vs_2025!A82=$B$3,IF($E$3="2024",WHR_Comparison_2024_vs_2025!B82,WHR_Comparison_2024_vs_2025!I82),NA())),NA())</f>
        <v>5.3042001724243102</v>
      </c>
      <c r="I166" s="2">
        <f>IFERROR(IF($B$3="All",IF($E$3="2024",WHR_Comparison_2024_vs_2025!F82,WHR_Comparison_2024_vs_2025!M82),IF(WHR_Comparison_2024_vs_2025!A82=$B$3,IF($E$3="2024",WHR_Comparison_2024_vs_2025!F82,WHR_Comparison_2024_vs_2025!M82),NA())),NA())</f>
        <v>0.68972975015640203</v>
      </c>
      <c r="J166" s="33">
        <f>IFERROR(IF($B$3="All",IF($E$3="2024",WHR_Comparison_2024_vs_2025!B82,WHR_Comparison_2024_vs_2025!I82),IF(WHR_Comparison_2024_vs_2025!A82=$B$3,IF($E$3="2024",WHR_Comparison_2024_vs_2025!B82,WHR_Comparison_2024_vs_2025!I82),NA())),NA())</f>
        <v>5.3042001724243102</v>
      </c>
    </row>
    <row r="167" spans="1:10" x14ac:dyDescent="0.3">
      <c r="A167" s="32" t="str">
        <f>IF($B$3="All",WHR_Comparison_2024_vs_2025!A83,IF(WHR_Comparison_2024_vs_2025!A83=$B$3,WHR_Comparison_2024_vs_2025!A83,NA()))</f>
        <v>Indonesia</v>
      </c>
      <c r="B167" s="2">
        <f>IFERROR(IF($B$3="All",WHR_Comparison_2024_vs_2025!B83,IF(WHR_Comparison_2024_vs_2025!A83=$B$3,WHR_Comparison_2024_vs_2025!B83,NA())),NA())</f>
        <v>5.2768998146057102</v>
      </c>
      <c r="C167" s="2">
        <f>IFERROR(IF($B$3="All",WHR_Comparison_2024_vs_2025!I83,IF(WHR_Comparison_2024_vs_2025!A83=$B$3,WHR_Comparison_2024_vs_2025!I83,NA())),NA())</f>
        <v>5.5682997703552202</v>
      </c>
      <c r="D167" s="2">
        <f>IFERROR(IF($B$3="All",WHR_Comparison_2024_vs_2025!P83,IF(WHR_Comparison_2024_vs_2025!A83=$B$3,WHR_Comparison_2024_vs_2025!P83,NA())),NA())</f>
        <v>0.29139999999999999</v>
      </c>
      <c r="E167" s="2"/>
      <c r="F167" s="2"/>
      <c r="G167" s="2">
        <f>IFERROR(IF($B$3="All",IF($E$3="2024",WHR_Comparison_2024_vs_2025!C83,WHR_Comparison_2024_vs_2025!J83),IF(WHR_Comparison_2024_vs_2025!A83=$B$3,IF($E$3="2024",WHR_Comparison_2024_vs_2025!C83,WHR_Comparison_2024_vs_2025!J83),NA())),NA())</f>
        <v>1.36149454116821</v>
      </c>
      <c r="H167" s="2">
        <f>IFERROR(IF($B$3="All",IF($E$3="2024",WHR_Comparison_2024_vs_2025!B83,WHR_Comparison_2024_vs_2025!I83),IF(WHR_Comparison_2024_vs_2025!A83=$B$3,IF($E$3="2024",WHR_Comparison_2024_vs_2025!B83,WHR_Comparison_2024_vs_2025!I83),NA())),NA())</f>
        <v>5.5682997703552202</v>
      </c>
      <c r="I167" s="2">
        <f>IFERROR(IF($B$3="All",IF($E$3="2024",WHR_Comparison_2024_vs_2025!F83,WHR_Comparison_2024_vs_2025!M83),IF(WHR_Comparison_2024_vs_2025!A83=$B$3,IF($E$3="2024",WHR_Comparison_2024_vs_2025!F83,WHR_Comparison_2024_vs_2025!M83),NA())),NA())</f>
        <v>0.77944535017013505</v>
      </c>
      <c r="J167" s="33">
        <f>IFERROR(IF($B$3="All",IF($E$3="2024",WHR_Comparison_2024_vs_2025!B83,WHR_Comparison_2024_vs_2025!I83),IF(WHR_Comparison_2024_vs_2025!A83=$B$3,IF($E$3="2024",WHR_Comparison_2024_vs_2025!B83,WHR_Comparison_2024_vs_2025!I83),NA())),NA())</f>
        <v>5.5682997703552202</v>
      </c>
    </row>
    <row r="168" spans="1:10" x14ac:dyDescent="0.3">
      <c r="A168" s="32" t="str">
        <f>IF($B$3="All",WHR_Comparison_2024_vs_2025!A84,IF(WHR_Comparison_2024_vs_2025!A84=$B$3,WHR_Comparison_2024_vs_2025!A84,NA()))</f>
        <v>South Africa</v>
      </c>
      <c r="B168" s="2">
        <f>IFERROR(IF($B$3="All",WHR_Comparison_2024_vs_2025!B84,IF(WHR_Comparison_2024_vs_2025!A84=$B$3,WHR_Comparison_2024_vs_2025!B84,NA())),NA())</f>
        <v>5.2746000289916903</v>
      </c>
      <c r="C168" s="2">
        <f>IFERROR(IF($B$3="All",WHR_Comparison_2024_vs_2025!I84,IF(WHR_Comparison_2024_vs_2025!A84=$B$3,WHR_Comparison_2024_vs_2025!I84,NA())),NA())</f>
        <v>5.4219999313354403</v>
      </c>
      <c r="D168" s="2">
        <f>IFERROR(IF($B$3="All",WHR_Comparison_2024_vs_2025!P84,IF(WHR_Comparison_2024_vs_2025!A84=$B$3,WHR_Comparison_2024_vs_2025!P84,NA())),NA())</f>
        <v>0.1474</v>
      </c>
      <c r="E168" s="2"/>
      <c r="F168" s="2"/>
      <c r="G168" s="2">
        <f>IFERROR(IF($B$3="All",IF($E$3="2024",WHR_Comparison_2024_vs_2025!C84,WHR_Comparison_2024_vs_2025!J84),IF(WHR_Comparison_2024_vs_2025!A84=$B$3,IF($E$3="2024",WHR_Comparison_2024_vs_2025!C84,WHR_Comparison_2024_vs_2025!J84),NA())),NA())</f>
        <v>1.3891060352325399</v>
      </c>
      <c r="H168" s="2">
        <f>IFERROR(IF($B$3="All",IF($E$3="2024",WHR_Comparison_2024_vs_2025!B84,WHR_Comparison_2024_vs_2025!I84),IF(WHR_Comparison_2024_vs_2025!A84=$B$3,IF($E$3="2024",WHR_Comparison_2024_vs_2025!B84,WHR_Comparison_2024_vs_2025!I84),NA())),NA())</f>
        <v>5.4219999313354403</v>
      </c>
      <c r="I168" s="2">
        <f>IFERROR(IF($B$3="All",IF($E$3="2024",WHR_Comparison_2024_vs_2025!F84,WHR_Comparison_2024_vs_2025!M84),IF(WHR_Comparison_2024_vs_2025!A84=$B$3,IF($E$3="2024",WHR_Comparison_2024_vs_2025!F84,WHR_Comparison_2024_vs_2025!M84),NA())),NA())</f>
        <v>0.53659015893936102</v>
      </c>
      <c r="J168" s="33">
        <f>IFERROR(IF($B$3="All",IF($E$3="2024",WHR_Comparison_2024_vs_2025!B84,WHR_Comparison_2024_vs_2025!I84),IF(WHR_Comparison_2024_vs_2025!A84=$B$3,IF($E$3="2024",WHR_Comparison_2024_vs_2025!B84,WHR_Comparison_2024_vs_2025!I84),NA())),NA())</f>
        <v>5.4219999313354403</v>
      </c>
    </row>
    <row r="169" spans="1:10" x14ac:dyDescent="0.3">
      <c r="A169" s="32" t="str">
        <f>IF($B$3="All",WHR_Comparison_2024_vs_2025!A85,IF(WHR_Comparison_2024_vs_2025!A85=$B$3,WHR_Comparison_2024_vs_2025!A85,NA()))</f>
        <v>Congo (Brazzaville)</v>
      </c>
      <c r="B169" s="2">
        <f>IFERROR(IF($B$3="All",WHR_Comparison_2024_vs_2025!B85,IF(WHR_Comparison_2024_vs_2025!A85=$B$3,WHR_Comparison_2024_vs_2025!B85,NA())),NA())</f>
        <v>5.2670998573303196</v>
      </c>
      <c r="C169" s="2">
        <f>IFERROR(IF($B$3="All",WHR_Comparison_2024_vs_2025!I85,IF(WHR_Comparison_2024_vs_2025!A85=$B$3,WHR_Comparison_2024_vs_2025!I85,NA())),NA())</f>
        <v>5.2214999198913503</v>
      </c>
      <c r="D169" s="2">
        <f>IFERROR(IF($B$3="All",WHR_Comparison_2024_vs_2025!P85,IF(WHR_Comparison_2024_vs_2025!A85=$B$3,WHR_Comparison_2024_vs_2025!P85,NA())),NA())</f>
        <v>-4.5600000000000002E-2</v>
      </c>
      <c r="E169" s="2"/>
      <c r="F169" s="2"/>
      <c r="G169" s="2">
        <f>IFERROR(IF($B$3="All",IF($E$3="2024",WHR_Comparison_2024_vs_2025!C85,WHR_Comparison_2024_vs_2025!J85),IF(WHR_Comparison_2024_vs_2025!A85=$B$3,IF($E$3="2024",WHR_Comparison_2024_vs_2025!C85,WHR_Comparison_2024_vs_2025!J85),NA())),NA())</f>
        <v>0.89234101772308305</v>
      </c>
      <c r="H169" s="2">
        <f>IFERROR(IF($B$3="All",IF($E$3="2024",WHR_Comparison_2024_vs_2025!B85,WHR_Comparison_2024_vs_2025!I85),IF(WHR_Comparison_2024_vs_2025!A85=$B$3,IF($E$3="2024",WHR_Comparison_2024_vs_2025!B85,WHR_Comparison_2024_vs_2025!I85),NA())),NA())</f>
        <v>5.2214999198913503</v>
      </c>
      <c r="I169" s="2">
        <f>IFERROR(IF($B$3="All",IF($E$3="2024",WHR_Comparison_2024_vs_2025!F85,WHR_Comparison_2024_vs_2025!M85),IF(WHR_Comparison_2024_vs_2025!A85=$B$3,IF($E$3="2024",WHR_Comparison_2024_vs_2025!F85,WHR_Comparison_2024_vs_2025!M85),NA())),NA())</f>
        <v>0.52273505926132202</v>
      </c>
      <c r="J169" s="33">
        <f>IFERROR(IF($B$3="All",IF($E$3="2024",WHR_Comparison_2024_vs_2025!B85,WHR_Comparison_2024_vs_2025!I85),IF(WHR_Comparison_2024_vs_2025!A85=$B$3,IF($E$3="2024",WHR_Comparison_2024_vs_2025!B85,WHR_Comparison_2024_vs_2025!I85),NA())),NA())</f>
        <v>5.2214999198913503</v>
      </c>
    </row>
    <row r="170" spans="1:10" x14ac:dyDescent="0.3">
      <c r="A170" s="32" t="str">
        <f>IF($B$3="All",WHR_Comparison_2024_vs_2025!A86,IF(WHR_Comparison_2024_vs_2025!A86=$B$3,WHR_Comparison_2024_vs_2025!A86,NA()))</f>
        <v>North Macedonia</v>
      </c>
      <c r="B170" s="2">
        <f>IFERROR(IF($B$3="All",WHR_Comparison_2024_vs_2025!B86,IF(WHR_Comparison_2024_vs_2025!A86=$B$3,WHR_Comparison_2024_vs_2025!B86,NA())),NA())</f>
        <v>5.25360012054443</v>
      </c>
      <c r="C170" s="2">
        <f>IFERROR(IF($B$3="All",WHR_Comparison_2024_vs_2025!I86,IF(WHR_Comparison_2024_vs_2025!A86=$B$3,WHR_Comparison_2024_vs_2025!I86,NA())),NA())</f>
        <v>5.3691000938415501</v>
      </c>
      <c r="D170" s="2">
        <f>IFERROR(IF($B$3="All",WHR_Comparison_2024_vs_2025!P86,IF(WHR_Comparison_2024_vs_2025!A86=$B$3,WHR_Comparison_2024_vs_2025!P86,NA())),NA())</f>
        <v>0.11550000000000001</v>
      </c>
      <c r="E170" s="2"/>
      <c r="F170" s="2"/>
      <c r="G170" s="2">
        <f>IFERROR(IF($B$3="All",IF($E$3="2024",WHR_Comparison_2024_vs_2025!C86,WHR_Comparison_2024_vs_2025!J86),IF(WHR_Comparison_2024_vs_2025!A86=$B$3,IF($E$3="2024",WHR_Comparison_2024_vs_2025!C86,WHR_Comparison_2024_vs_2025!J86),NA())),NA())</f>
        <v>1.47530877590179</v>
      </c>
      <c r="H170" s="2">
        <f>IFERROR(IF($B$3="All",IF($E$3="2024",WHR_Comparison_2024_vs_2025!B86,WHR_Comparison_2024_vs_2025!I86),IF(WHR_Comparison_2024_vs_2025!A86=$B$3,IF($E$3="2024",WHR_Comparison_2024_vs_2025!B86,WHR_Comparison_2024_vs_2025!I86),NA())),NA())</f>
        <v>5.3691000938415501</v>
      </c>
      <c r="I170" s="2">
        <f>IFERROR(IF($B$3="All",IF($E$3="2024",WHR_Comparison_2024_vs_2025!F86,WHR_Comparison_2024_vs_2025!M86),IF(WHR_Comparison_2024_vs_2025!A86=$B$3,IF($E$3="2024",WHR_Comparison_2024_vs_2025!F86,WHR_Comparison_2024_vs_2025!M86),NA())),NA())</f>
        <v>0.57972711324691695</v>
      </c>
      <c r="J170" s="33">
        <f>IFERROR(IF($B$3="All",IF($E$3="2024",WHR_Comparison_2024_vs_2025!B86,WHR_Comparison_2024_vs_2025!I86),IF(WHR_Comparison_2024_vs_2025!A86=$B$3,IF($E$3="2024",WHR_Comparison_2024_vs_2025!B86,WHR_Comparison_2024_vs_2025!I86),NA())),NA())</f>
        <v>5.3691000938415501</v>
      </c>
    </row>
    <row r="171" spans="1:10" x14ac:dyDescent="0.3">
      <c r="A171" s="32" t="str">
        <f>IF($B$3="All",WHR_Comparison_2024_vs_2025!A87,IF(WHR_Comparison_2024_vs_2025!A87=$B$3,WHR_Comparison_2024_vs_2025!A87,NA()))</f>
        <v>Venezuela</v>
      </c>
      <c r="B171" s="2">
        <f>IFERROR(IF($B$3="All",WHR_Comparison_2024_vs_2025!B87,IF(WHR_Comparison_2024_vs_2025!A87=$B$3,WHR_Comparison_2024_vs_2025!B87,NA())),NA())</f>
        <v>5.2105998992919904</v>
      </c>
      <c r="C171" s="2">
        <f>IFERROR(IF($B$3="All",WHR_Comparison_2024_vs_2025!I87,IF(WHR_Comparison_2024_vs_2025!A87=$B$3,WHR_Comparison_2024_vs_2025!I87,NA())),NA())</f>
        <v>5.6066999435424796</v>
      </c>
      <c r="D171" s="2">
        <f>IFERROR(IF($B$3="All",WHR_Comparison_2024_vs_2025!P87,IF(WHR_Comparison_2024_vs_2025!A87=$B$3,WHR_Comparison_2024_vs_2025!P87,NA())),NA())</f>
        <v>0.39610000000000001</v>
      </c>
      <c r="E171" s="2"/>
      <c r="F171" s="2"/>
      <c r="G171" s="2">
        <f>IFERROR(IF($B$3="All",IF($E$3="2024",WHR_Comparison_2024_vs_2025!C87,WHR_Comparison_2024_vs_2025!J87),IF(WHR_Comparison_2024_vs_2025!A87=$B$3,IF($E$3="2024",WHR_Comparison_2024_vs_2025!C87,WHR_Comparison_2024_vs_2025!J87),NA())),NA())</f>
        <v>0</v>
      </c>
      <c r="H171" s="2">
        <f>IFERROR(IF($B$3="All",IF($E$3="2024",WHR_Comparison_2024_vs_2025!B87,WHR_Comparison_2024_vs_2025!I87),IF(WHR_Comparison_2024_vs_2025!A87=$B$3,IF($E$3="2024",WHR_Comparison_2024_vs_2025!B87,WHR_Comparison_2024_vs_2025!I87),NA())),NA())</f>
        <v>5.6066999435424796</v>
      </c>
      <c r="I171" s="2">
        <f>IFERROR(IF($B$3="All",IF($E$3="2024",WHR_Comparison_2024_vs_2025!F87,WHR_Comparison_2024_vs_2025!M87),IF(WHR_Comparison_2024_vs_2025!A87=$B$3,IF($E$3="2024",WHR_Comparison_2024_vs_2025!F87,WHR_Comparison_2024_vs_2025!M87),NA())),NA())</f>
        <v>0.51791286468505804</v>
      </c>
      <c r="J171" s="33">
        <f>IFERROR(IF($B$3="All",IF($E$3="2024",WHR_Comparison_2024_vs_2025!B87,WHR_Comparison_2024_vs_2025!I87),IF(WHR_Comparison_2024_vs_2025!A87=$B$3,IF($E$3="2024",WHR_Comparison_2024_vs_2025!B87,WHR_Comparison_2024_vs_2025!I87),NA())),NA())</f>
        <v>5.6066999435424796</v>
      </c>
    </row>
    <row r="172" spans="1:10" x14ac:dyDescent="0.3">
      <c r="A172" s="32" t="str">
        <f>IF($B$3="All",WHR_Comparison_2024_vs_2025!A88,IF(WHR_Comparison_2024_vs_2025!A88=$B$3,WHR_Comparison_2024_vs_2025!A88,NA()))</f>
        <v>Laos</v>
      </c>
      <c r="B172" s="2">
        <f>IFERROR(IF($B$3="All",WHR_Comparison_2024_vs_2025!B88,IF(WHR_Comparison_2024_vs_2025!A88=$B$3,WHR_Comparison_2024_vs_2025!B88,NA())),NA())</f>
        <v>5.1107001304626403</v>
      </c>
      <c r="C172" s="2">
        <f>IFERROR(IF($B$3="All",WHR_Comparison_2024_vs_2025!I88,IF(WHR_Comparison_2024_vs_2025!A88=$B$3,WHR_Comparison_2024_vs_2025!I88,NA())),NA())</f>
        <v>5.1388998031616202</v>
      </c>
      <c r="D172" s="2">
        <f>IFERROR(IF($B$3="All",WHR_Comparison_2024_vs_2025!P88,IF(WHR_Comparison_2024_vs_2025!A88=$B$3,WHR_Comparison_2024_vs_2025!P88,NA())),NA())</f>
        <v>2.8199999999999999E-2</v>
      </c>
      <c r="E172" s="2"/>
      <c r="F172" s="2"/>
      <c r="G172" s="2">
        <f>IFERROR(IF($B$3="All",IF($E$3="2024",WHR_Comparison_2024_vs_2025!C88,WHR_Comparison_2024_vs_2025!J88),IF(WHR_Comparison_2024_vs_2025!A88=$B$3,IF($E$3="2024",WHR_Comparison_2024_vs_2025!C88,WHR_Comparison_2024_vs_2025!J88),NA())),NA())</f>
        <v>1.20846831798553</v>
      </c>
      <c r="H172" s="2">
        <f>IFERROR(IF($B$3="All",IF($E$3="2024",WHR_Comparison_2024_vs_2025!B88,WHR_Comparison_2024_vs_2025!I88),IF(WHR_Comparison_2024_vs_2025!A88=$B$3,IF($E$3="2024",WHR_Comparison_2024_vs_2025!B88,WHR_Comparison_2024_vs_2025!I88),NA())),NA())</f>
        <v>5.1388998031616202</v>
      </c>
      <c r="I172" s="2">
        <f>IFERROR(IF($B$3="All",IF($E$3="2024",WHR_Comparison_2024_vs_2025!F88,WHR_Comparison_2024_vs_2025!M88),IF(WHR_Comparison_2024_vs_2025!A88=$B$3,IF($E$3="2024",WHR_Comparison_2024_vs_2025!F88,WHR_Comparison_2024_vs_2025!M88),NA())),NA())</f>
        <v>0.79646611213684004</v>
      </c>
      <c r="J172" s="33">
        <f>IFERROR(IF($B$3="All",IF($E$3="2024",WHR_Comparison_2024_vs_2025!B88,WHR_Comparison_2024_vs_2025!I88),IF(WHR_Comparison_2024_vs_2025!A88=$B$3,IF($E$3="2024",WHR_Comparison_2024_vs_2025!B88,WHR_Comparison_2024_vs_2025!I88),NA())),NA())</f>
        <v>5.1388998031616202</v>
      </c>
    </row>
    <row r="173" spans="1:10" x14ac:dyDescent="0.3">
      <c r="A173" s="32" t="str">
        <f>IF($B$3="All",WHR_Comparison_2024_vs_2025!A89,IF(WHR_Comparison_2024_vs_2025!A89=$B$3,WHR_Comparison_2024_vs_2025!A89,NA()))</f>
        <v>Georgia</v>
      </c>
      <c r="B173" s="2">
        <f>IFERROR(IF($B$3="All",WHR_Comparison_2024_vs_2025!B89,IF(WHR_Comparison_2024_vs_2025!A89=$B$3,WHR_Comparison_2024_vs_2025!B89,NA())),NA())</f>
        <v>5.1090998649597097</v>
      </c>
      <c r="C173" s="2">
        <f>IFERROR(IF($B$3="All",WHR_Comparison_2024_vs_2025!I89,IF(WHR_Comparison_2024_vs_2025!A89=$B$3,WHR_Comparison_2024_vs_2025!I89,NA())),NA())</f>
        <v>5.1847000122070304</v>
      </c>
      <c r="D173" s="2">
        <f>IFERROR(IF($B$3="All",WHR_Comparison_2024_vs_2025!P89,IF(WHR_Comparison_2024_vs_2025!A89=$B$3,WHR_Comparison_2024_vs_2025!P89,NA())),NA())</f>
        <v>7.5600000000000001E-2</v>
      </c>
      <c r="E173" s="2"/>
      <c r="F173" s="2"/>
      <c r="G173" s="2">
        <f>IFERROR(IF($B$3="All",IF($E$3="2024",WHR_Comparison_2024_vs_2025!C89,WHR_Comparison_2024_vs_2025!J89),IF(WHR_Comparison_2024_vs_2025!A89=$B$3,IF($E$3="2024",WHR_Comparison_2024_vs_2025!C89,WHR_Comparison_2024_vs_2025!J89),NA())),NA())</f>
        <v>1.4669232368469201</v>
      </c>
      <c r="H173" s="2">
        <f>IFERROR(IF($B$3="All",IF($E$3="2024",WHR_Comparison_2024_vs_2025!B89,WHR_Comparison_2024_vs_2025!I89),IF(WHR_Comparison_2024_vs_2025!A89=$B$3,IF($E$3="2024",WHR_Comparison_2024_vs_2025!B89,WHR_Comparison_2024_vs_2025!I89),NA())),NA())</f>
        <v>5.1847000122070304</v>
      </c>
      <c r="I173" s="2">
        <f>IFERROR(IF($B$3="All",IF($E$3="2024",WHR_Comparison_2024_vs_2025!F89,WHR_Comparison_2024_vs_2025!M89),IF(WHR_Comparison_2024_vs_2025!A89=$B$3,IF($E$3="2024",WHR_Comparison_2024_vs_2025!F89,WHR_Comparison_2024_vs_2025!M89),NA())),NA())</f>
        <v>0.67981415987014704</v>
      </c>
      <c r="J173" s="33">
        <f>IFERROR(IF($B$3="All",IF($E$3="2024",WHR_Comparison_2024_vs_2025!B89,WHR_Comparison_2024_vs_2025!I89),IF(WHR_Comparison_2024_vs_2025!A89=$B$3,IF($E$3="2024",WHR_Comparison_2024_vs_2025!B89,WHR_Comparison_2024_vs_2025!I89),NA())),NA())</f>
        <v>5.1847000122070304</v>
      </c>
    </row>
    <row r="174" spans="1:10" x14ac:dyDescent="0.3">
      <c r="A174" s="32" t="str">
        <f>IF($B$3="All",WHR_Comparison_2024_vs_2025!A90,IF(WHR_Comparison_2024_vs_2025!A90=$B$3,WHR_Comparison_2024_vs_2025!A90,NA()))</f>
        <v>Guinea</v>
      </c>
      <c r="B174" s="2">
        <f>IFERROR(IF($B$3="All",WHR_Comparison_2024_vs_2025!B90,IF(WHR_Comparison_2024_vs_2025!A90=$B$3,WHR_Comparison_2024_vs_2025!B90,NA())),NA())</f>
        <v>5.0717000961303702</v>
      </c>
      <c r="C174" s="2">
        <f>IFERROR(IF($B$3="All",WHR_Comparison_2024_vs_2025!I90,IF(WHR_Comparison_2024_vs_2025!A90=$B$3,WHR_Comparison_2024_vs_2025!I90,NA())),NA())</f>
        <v>5.0233001708984304</v>
      </c>
      <c r="D174" s="2">
        <f>IFERROR(IF($B$3="All",WHR_Comparison_2024_vs_2025!P90,IF(WHR_Comparison_2024_vs_2025!A90=$B$3,WHR_Comparison_2024_vs_2025!P90,NA())),NA())</f>
        <v>-4.8399999999999999E-2</v>
      </c>
      <c r="E174" s="2"/>
      <c r="F174" s="2"/>
      <c r="G174" s="2">
        <f>IFERROR(IF($B$3="All",IF($E$3="2024",WHR_Comparison_2024_vs_2025!C90,WHR_Comparison_2024_vs_2025!J90),IF(WHR_Comparison_2024_vs_2025!A90=$B$3,IF($E$3="2024",WHR_Comparison_2024_vs_2025!C90,WHR_Comparison_2024_vs_2025!J90),NA())),NA())</f>
        <v>0.83056735992431596</v>
      </c>
      <c r="H174" s="2">
        <f>IFERROR(IF($B$3="All",IF($E$3="2024",WHR_Comparison_2024_vs_2025!B90,WHR_Comparison_2024_vs_2025!I90),IF(WHR_Comparison_2024_vs_2025!A90=$B$3,IF($E$3="2024",WHR_Comparison_2024_vs_2025!B90,WHR_Comparison_2024_vs_2025!I90),NA())),NA())</f>
        <v>5.0233001708984304</v>
      </c>
      <c r="I174" s="2">
        <f>IFERROR(IF($B$3="All",IF($E$3="2024",WHR_Comparison_2024_vs_2025!F90,WHR_Comparison_2024_vs_2025!M90),IF(WHR_Comparison_2024_vs_2025!A90=$B$3,IF($E$3="2024",WHR_Comparison_2024_vs_2025!F90,WHR_Comparison_2024_vs_2025!M90),NA())),NA())</f>
        <v>0.52128487825393599</v>
      </c>
      <c r="J174" s="33">
        <f>IFERROR(IF($B$3="All",IF($E$3="2024",WHR_Comparison_2024_vs_2025!B90,WHR_Comparison_2024_vs_2025!I90),IF(WHR_Comparison_2024_vs_2025!A90=$B$3,IF($E$3="2024",WHR_Comparison_2024_vs_2025!B90,WHR_Comparison_2024_vs_2025!I90),NA())),NA())</f>
        <v>5.0233001708984304</v>
      </c>
    </row>
    <row r="175" spans="1:10" x14ac:dyDescent="0.3">
      <c r="A175" s="32" t="str">
        <f>IF($B$3="All",WHR_Comparison_2024_vs_2025!A91,IF(WHR_Comparison_2024_vs_2025!A91=$B$3,WHR_Comparison_2024_vs_2025!A91,NA()))</f>
        <v>Ukraine</v>
      </c>
      <c r="B175" s="2">
        <f>IFERROR(IF($B$3="All",WHR_Comparison_2024_vs_2025!B91,IF(WHR_Comparison_2024_vs_2025!A91=$B$3,WHR_Comparison_2024_vs_2025!B91,NA())),NA())</f>
        <v>5.0714001655578604</v>
      </c>
      <c r="C175" s="2">
        <f>IFERROR(IF($B$3="All",WHR_Comparison_2024_vs_2025!I91,IF(WHR_Comparison_2024_vs_2025!A91=$B$3,WHR_Comparison_2024_vs_2025!I91,NA())),NA())</f>
        <v>4.8730001449584899</v>
      </c>
      <c r="D175" s="2">
        <f>IFERROR(IF($B$3="All",WHR_Comparison_2024_vs_2025!P91,IF(WHR_Comparison_2024_vs_2025!A91=$B$3,WHR_Comparison_2024_vs_2025!P91,NA())),NA())</f>
        <v>-0.19839999999999999</v>
      </c>
      <c r="E175" s="2"/>
      <c r="F175" s="2"/>
      <c r="G175" s="2">
        <f>IFERROR(IF($B$3="All",IF($E$3="2024",WHR_Comparison_2024_vs_2025!C91,WHR_Comparison_2024_vs_2025!J91),IF(WHR_Comparison_2024_vs_2025!A91=$B$3,IF($E$3="2024",WHR_Comparison_2024_vs_2025!C91,WHR_Comparison_2024_vs_2025!J91),NA())),NA())</f>
        <v>1.34989845752716</v>
      </c>
      <c r="H175" s="2">
        <f>IFERROR(IF($B$3="All",IF($E$3="2024",WHR_Comparison_2024_vs_2025!B91,WHR_Comparison_2024_vs_2025!I91),IF(WHR_Comparison_2024_vs_2025!A91=$B$3,IF($E$3="2024",WHR_Comparison_2024_vs_2025!B91,WHR_Comparison_2024_vs_2025!I91),NA())),NA())</f>
        <v>4.8730001449584899</v>
      </c>
      <c r="I175" s="2">
        <f>IFERROR(IF($B$3="All",IF($E$3="2024",WHR_Comparison_2024_vs_2025!F91,WHR_Comparison_2024_vs_2025!M91),IF(WHR_Comparison_2024_vs_2025!A91=$B$3,IF($E$3="2024",WHR_Comparison_2024_vs_2025!F91,WHR_Comparison_2024_vs_2025!M91),NA())),NA())</f>
        <v>0.63064908981323198</v>
      </c>
      <c r="J175" s="33">
        <f>IFERROR(IF($B$3="All",IF($E$3="2024",WHR_Comparison_2024_vs_2025!B91,WHR_Comparison_2024_vs_2025!I91),IF(WHR_Comparison_2024_vs_2025!A91=$B$3,IF($E$3="2024",WHR_Comparison_2024_vs_2025!B91,WHR_Comparison_2024_vs_2025!I91),NA())),NA())</f>
        <v>4.8730001449584899</v>
      </c>
    </row>
    <row r="176" spans="1:10" x14ac:dyDescent="0.3">
      <c r="A176" s="32" t="str">
        <f>IF($B$3="All",WHR_Comparison_2024_vs_2025!A92,IF(WHR_Comparison_2024_vs_2025!A92=$B$3,WHR_Comparison_2024_vs_2025!A92,NA()))</f>
        <v>Ivory Coast</v>
      </c>
      <c r="B176" s="2">
        <f>IFERROR(IF($B$3="All",WHR_Comparison_2024_vs_2025!B92,IF(WHR_Comparison_2024_vs_2025!A92=$B$3,WHR_Comparison_2024_vs_2025!B92,NA())),NA())</f>
        <v>5.0527000427245996</v>
      </c>
      <c r="C176" s="2">
        <f>IFERROR(IF($B$3="All",WHR_Comparison_2024_vs_2025!I92,IF(WHR_Comparison_2024_vs_2025!A92=$B$3,WHR_Comparison_2024_vs_2025!I92,NA())),NA())</f>
        <v>5.0801000595092702</v>
      </c>
      <c r="D176" s="2">
        <f>IFERROR(IF($B$3="All",WHR_Comparison_2024_vs_2025!P92,IF(WHR_Comparison_2024_vs_2025!A92=$B$3,WHR_Comparison_2024_vs_2025!P92,NA())),NA())</f>
        <v>2.7400000000000001E-2</v>
      </c>
      <c r="E176" s="2"/>
      <c r="F176" s="2"/>
      <c r="G176" s="2">
        <f>IFERROR(IF($B$3="All",IF($E$3="2024",WHR_Comparison_2024_vs_2025!C92,WHR_Comparison_2024_vs_2025!J92),IF(WHR_Comparison_2024_vs_2025!A92=$B$3,IF($E$3="2024",WHR_Comparison_2024_vs_2025!C92,WHR_Comparison_2024_vs_2025!J92),NA())),NA())</f>
        <v>1.0801311731338501</v>
      </c>
      <c r="H176" s="2">
        <f>IFERROR(IF($B$3="All",IF($E$3="2024",WHR_Comparison_2024_vs_2025!B92,WHR_Comparison_2024_vs_2025!I92),IF(WHR_Comparison_2024_vs_2025!A92=$B$3,IF($E$3="2024",WHR_Comparison_2024_vs_2025!B92,WHR_Comparison_2024_vs_2025!I92),NA())),NA())</f>
        <v>5.0801000595092702</v>
      </c>
      <c r="I176" s="2">
        <f>IFERROR(IF($B$3="All",IF($E$3="2024",WHR_Comparison_2024_vs_2025!F92,WHR_Comparison_2024_vs_2025!M92),IF(WHR_Comparison_2024_vs_2025!A92=$B$3,IF($E$3="2024",WHR_Comparison_2024_vs_2025!F92,WHR_Comparison_2024_vs_2025!M92),NA())),NA())</f>
        <v>0.54695111513137795</v>
      </c>
      <c r="J176" s="33">
        <f>IFERROR(IF($B$3="All",IF($E$3="2024",WHR_Comparison_2024_vs_2025!B92,WHR_Comparison_2024_vs_2025!I92),IF(WHR_Comparison_2024_vs_2025!A92=$B$3,IF($E$3="2024",WHR_Comparison_2024_vs_2025!B92,WHR_Comparison_2024_vs_2025!I92),NA())),NA())</f>
        <v>5.0801000595092702</v>
      </c>
    </row>
    <row r="177" spans="1:10" x14ac:dyDescent="0.3">
      <c r="A177" s="32" t="str">
        <f>IF($B$3="All",WHR_Comparison_2024_vs_2025!A93,IF(WHR_Comparison_2024_vs_2025!A93=$B$3,WHR_Comparison_2024_vs_2025!A93,NA()))</f>
        <v>Gabon</v>
      </c>
      <c r="B177" s="2">
        <f>IFERROR(IF($B$3="All",WHR_Comparison_2024_vs_2025!B93,IF(WHR_Comparison_2024_vs_2025!A93=$B$3,WHR_Comparison_2024_vs_2025!B93,NA())),NA())</f>
        <v>5.0346999168395996</v>
      </c>
      <c r="C177" s="2">
        <f>IFERROR(IF($B$3="All",WHR_Comparison_2024_vs_2025!I93,IF(WHR_Comparison_2024_vs_2025!A93=$B$3,WHR_Comparison_2024_vs_2025!I93,NA())),NA())</f>
        <v>5.1062998771667401</v>
      </c>
      <c r="D177" s="2">
        <f>IFERROR(IF($B$3="All",WHR_Comparison_2024_vs_2025!P93,IF(WHR_Comparison_2024_vs_2025!A93=$B$3,WHR_Comparison_2024_vs_2025!P93,NA())),NA())</f>
        <v>7.1599999999999997E-2</v>
      </c>
      <c r="E177" s="2"/>
      <c r="F177" s="2"/>
      <c r="G177" s="2">
        <f>IFERROR(IF($B$3="All",IF($E$3="2024",WHR_Comparison_2024_vs_2025!C93,WHR_Comparison_2024_vs_2025!J93),IF(WHR_Comparison_2024_vs_2025!A93=$B$3,IF($E$3="2024",WHR_Comparison_2024_vs_2025!C93,WHR_Comparison_2024_vs_2025!J93),NA())),NA())</f>
        <v>1.40343749523162</v>
      </c>
      <c r="H177" s="2">
        <f>IFERROR(IF($B$3="All",IF($E$3="2024",WHR_Comparison_2024_vs_2025!B93,WHR_Comparison_2024_vs_2025!I93),IF(WHR_Comparison_2024_vs_2025!A93=$B$3,IF($E$3="2024",WHR_Comparison_2024_vs_2025!B93,WHR_Comparison_2024_vs_2025!I93),NA())),NA())</f>
        <v>5.1062998771667401</v>
      </c>
      <c r="I177" s="2">
        <f>IFERROR(IF($B$3="All",IF($E$3="2024",WHR_Comparison_2024_vs_2025!F93,WHR_Comparison_2024_vs_2025!M93),IF(WHR_Comparison_2024_vs_2025!A93=$B$3,IF($E$3="2024",WHR_Comparison_2024_vs_2025!F93,WHR_Comparison_2024_vs_2025!M93),NA())),NA())</f>
        <v>0.51581484079360895</v>
      </c>
      <c r="J177" s="33">
        <f>IFERROR(IF($B$3="All",IF($E$3="2024",WHR_Comparison_2024_vs_2025!B93,WHR_Comparison_2024_vs_2025!I93),IF(WHR_Comparison_2024_vs_2025!A93=$B$3,IF($E$3="2024",WHR_Comparison_2024_vs_2025!B93,WHR_Comparison_2024_vs_2025!I93),NA())),NA())</f>
        <v>5.1062998771667401</v>
      </c>
    </row>
    <row r="178" spans="1:10" x14ac:dyDescent="0.3">
      <c r="A178" s="32" t="str">
        <f>IF($B$3="All",WHR_Comparison_2024_vs_2025!A94,IF(WHR_Comparison_2024_vs_2025!A94=$B$3,WHR_Comparison_2024_vs_2025!A94,NA()))</f>
        <v>Nigeria</v>
      </c>
      <c r="B178" s="2">
        <f>IFERROR(IF($B$3="All",WHR_Comparison_2024_vs_2025!B94,IF(WHR_Comparison_2024_vs_2025!A94=$B$3,WHR_Comparison_2024_vs_2025!B94,NA())),NA())</f>
        <v>4.9805998802184996</v>
      </c>
      <c r="C178" s="2">
        <f>IFERROR(IF($B$3="All",WHR_Comparison_2024_vs_2025!I94,IF(WHR_Comparison_2024_vs_2025!A94=$B$3,WHR_Comparison_2024_vs_2025!I94,NA())),NA())</f>
        <v>4.8807997703552202</v>
      </c>
      <c r="D178" s="2">
        <f>IFERROR(IF($B$3="All",WHR_Comparison_2024_vs_2025!P94,IF(WHR_Comparison_2024_vs_2025!A94=$B$3,WHR_Comparison_2024_vs_2025!P94,NA())),NA())</f>
        <v>-9.98E-2</v>
      </c>
      <c r="E178" s="2"/>
      <c r="F178" s="2"/>
      <c r="G178" s="2">
        <f>IFERROR(IF($B$3="All",IF($E$3="2024",WHR_Comparison_2024_vs_2025!C94,WHR_Comparison_2024_vs_2025!J94),IF(WHR_Comparison_2024_vs_2025!A94=$B$3,IF($E$3="2024",WHR_Comparison_2024_vs_2025!C94,WHR_Comparison_2024_vs_2025!J94),NA())),NA())</f>
        <v>1.04177117347717</v>
      </c>
      <c r="H178" s="2">
        <f>IFERROR(IF($B$3="All",IF($E$3="2024",WHR_Comparison_2024_vs_2025!B94,WHR_Comparison_2024_vs_2025!I94),IF(WHR_Comparison_2024_vs_2025!A94=$B$3,IF($E$3="2024",WHR_Comparison_2024_vs_2025!B94,WHR_Comparison_2024_vs_2025!I94),NA())),NA())</f>
        <v>4.8807997703552202</v>
      </c>
      <c r="I178" s="2">
        <f>IFERROR(IF($B$3="All",IF($E$3="2024",WHR_Comparison_2024_vs_2025!F94,WHR_Comparison_2024_vs_2025!M94),IF(WHR_Comparison_2024_vs_2025!A94=$B$3,IF($E$3="2024",WHR_Comparison_2024_vs_2025!F94,WHR_Comparison_2024_vs_2025!M94),NA())),NA())</f>
        <v>0.56580913066864003</v>
      </c>
      <c r="J178" s="33">
        <f>IFERROR(IF($B$3="All",IF($E$3="2024",WHR_Comparison_2024_vs_2025!B94,WHR_Comparison_2024_vs_2025!I94),IF(WHR_Comparison_2024_vs_2025!A94=$B$3,IF($E$3="2024",WHR_Comparison_2024_vs_2025!B94,WHR_Comparison_2024_vs_2025!I94),NA())),NA())</f>
        <v>4.8807997703552202</v>
      </c>
    </row>
    <row r="179" spans="1:10" x14ac:dyDescent="0.3">
      <c r="A179" s="32" t="str">
        <f>IF($B$3="All",WHR_Comparison_2024_vs_2025!A95,IF(WHR_Comparison_2024_vs_2025!A95=$B$3,WHR_Comparison_2024_vs_2025!A95,NA()))</f>
        <v>Cameroon</v>
      </c>
      <c r="B179" s="2">
        <f>IFERROR(IF($B$3="All",WHR_Comparison_2024_vs_2025!B95,IF(WHR_Comparison_2024_vs_2025!A95=$B$3,WHR_Comparison_2024_vs_2025!B95,NA())),NA())</f>
        <v>4.9731998443603498</v>
      </c>
      <c r="C179" s="2">
        <f>IFERROR(IF($B$3="All",WHR_Comparison_2024_vs_2025!I95,IF(WHR_Comparison_2024_vs_2025!A95=$B$3,WHR_Comparison_2024_vs_2025!I95,NA())),NA())</f>
        <v>4.8744001388549796</v>
      </c>
      <c r="D179" s="2">
        <f>IFERROR(IF($B$3="All",WHR_Comparison_2024_vs_2025!P95,IF(WHR_Comparison_2024_vs_2025!A95=$B$3,WHR_Comparison_2024_vs_2025!P95,NA())),NA())</f>
        <v>-9.8799999999999999E-2</v>
      </c>
      <c r="E179" s="2"/>
      <c r="F179" s="2"/>
      <c r="G179" s="2">
        <f>IFERROR(IF($B$3="All",IF($E$3="2024",WHR_Comparison_2024_vs_2025!C95,WHR_Comparison_2024_vs_2025!J95),IF(WHR_Comparison_2024_vs_2025!A95=$B$3,IF($E$3="2024",WHR_Comparison_2024_vs_2025!C95,WHR_Comparison_2024_vs_2025!J95),NA())),NA())</f>
        <v>0.94324433803558305</v>
      </c>
      <c r="H179" s="2">
        <f>IFERROR(IF($B$3="All",IF($E$3="2024",WHR_Comparison_2024_vs_2025!B95,WHR_Comparison_2024_vs_2025!I95),IF(WHR_Comparison_2024_vs_2025!A95=$B$3,IF($E$3="2024",WHR_Comparison_2024_vs_2025!B95,WHR_Comparison_2024_vs_2025!I95),NA())),NA())</f>
        <v>4.8744001388549796</v>
      </c>
      <c r="I179" s="2">
        <f>IFERROR(IF($B$3="All",IF($E$3="2024",WHR_Comparison_2024_vs_2025!F95,WHR_Comparison_2024_vs_2025!M95),IF(WHR_Comparison_2024_vs_2025!A95=$B$3,IF($E$3="2024",WHR_Comparison_2024_vs_2025!F95,WHR_Comparison_2024_vs_2025!M95),NA())),NA())</f>
        <v>0.52122795581817605</v>
      </c>
      <c r="J179" s="33">
        <f>IFERROR(IF($B$3="All",IF($E$3="2024",WHR_Comparison_2024_vs_2025!B95,WHR_Comparison_2024_vs_2025!I95),IF(WHR_Comparison_2024_vs_2025!A95=$B$3,IF($E$3="2024",WHR_Comparison_2024_vs_2025!B95,WHR_Comparison_2024_vs_2025!I95),NA())),NA())</f>
        <v>4.8744001388549796</v>
      </c>
    </row>
    <row r="180" spans="1:10" x14ac:dyDescent="0.3">
      <c r="A180" s="32" t="str">
        <f>IF($B$3="All",WHR_Comparison_2024_vs_2025!A96,IF(WHR_Comparison_2024_vs_2025!A96=$B$3,WHR_Comparison_2024_vs_2025!A96,NA()))</f>
        <v>Mozambique</v>
      </c>
      <c r="B180" s="2">
        <f>IFERROR(IF($B$3="All",WHR_Comparison_2024_vs_2025!B96,IF(WHR_Comparison_2024_vs_2025!A96=$B$3,WHR_Comparison_2024_vs_2025!B96,NA())),NA())</f>
        <v>4.9539999961853001</v>
      </c>
      <c r="C180" s="2">
        <f>IFERROR(IF($B$3="All",WHR_Comparison_2024_vs_2025!I96,IF(WHR_Comparison_2024_vs_2025!A96=$B$3,WHR_Comparison_2024_vs_2025!I96,NA())),NA())</f>
        <v>5.2164001464843697</v>
      </c>
      <c r="D180" s="2">
        <f>IFERROR(IF($B$3="All",WHR_Comparison_2024_vs_2025!P96,IF(WHR_Comparison_2024_vs_2025!A96=$B$3,WHR_Comparison_2024_vs_2025!P96,NA())),NA())</f>
        <v>0.26240000000000002</v>
      </c>
      <c r="E180" s="2"/>
      <c r="F180" s="2"/>
      <c r="G180" s="2">
        <f>IFERROR(IF($B$3="All",IF($E$3="2024",WHR_Comparison_2024_vs_2025!C96,WHR_Comparison_2024_vs_2025!J96),IF(WHR_Comparison_2024_vs_2025!A96=$B$3,IF($E$3="2024",WHR_Comparison_2024_vs_2025!C96,WHR_Comparison_2024_vs_2025!J96),NA())),NA())</f>
        <v>0.55976742506027199</v>
      </c>
      <c r="H180" s="2">
        <f>IFERROR(IF($B$3="All",IF($E$3="2024",WHR_Comparison_2024_vs_2025!B96,WHR_Comparison_2024_vs_2025!I96),IF(WHR_Comparison_2024_vs_2025!A96=$B$3,IF($E$3="2024",WHR_Comparison_2024_vs_2025!B96,WHR_Comparison_2024_vs_2025!I96),NA())),NA())</f>
        <v>5.2164001464843697</v>
      </c>
      <c r="I180" s="2">
        <f>IFERROR(IF($B$3="All",IF($E$3="2024",WHR_Comparison_2024_vs_2025!F96,WHR_Comparison_2024_vs_2025!M96),IF(WHR_Comparison_2024_vs_2025!A96=$B$3,IF($E$3="2024",WHR_Comparison_2024_vs_2025!F96,WHR_Comparison_2024_vs_2025!M96),NA())),NA())</f>
        <v>0.72811126708984297</v>
      </c>
      <c r="J180" s="33">
        <f>IFERROR(IF($B$3="All",IF($E$3="2024",WHR_Comparison_2024_vs_2025!B96,WHR_Comparison_2024_vs_2025!I96),IF(WHR_Comparison_2024_vs_2025!A96=$B$3,IF($E$3="2024",WHR_Comparison_2024_vs_2025!B96,WHR_Comparison_2024_vs_2025!I96),NA())),NA())</f>
        <v>5.2164001464843697</v>
      </c>
    </row>
    <row r="181" spans="1:10" x14ac:dyDescent="0.3">
      <c r="A181" s="32" t="str">
        <f>IF($B$3="All",WHR_Comparison_2024_vs_2025!A97,IF(WHR_Comparison_2024_vs_2025!A97=$B$3,WHR_Comparison_2024_vs_2025!A97,NA()))</f>
        <v>Iraq</v>
      </c>
      <c r="B181" s="2">
        <f>IFERROR(IF($B$3="All",WHR_Comparison_2024_vs_2025!B97,IF(WHR_Comparison_2024_vs_2025!A97=$B$3,WHR_Comparison_2024_vs_2025!B97,NA())),NA())</f>
        <v>4.9408998489379803</v>
      </c>
      <c r="C181" s="2">
        <f>IFERROR(IF($B$3="All",WHR_Comparison_2024_vs_2025!I97,IF(WHR_Comparison_2024_vs_2025!A97=$B$3,WHR_Comparison_2024_vs_2025!I97,NA())),NA())</f>
        <v>5.1659998893737704</v>
      </c>
      <c r="D181" s="2">
        <f>IFERROR(IF($B$3="All",WHR_Comparison_2024_vs_2025!P97,IF(WHR_Comparison_2024_vs_2025!A97=$B$3,WHR_Comparison_2024_vs_2025!P97,NA())),NA())</f>
        <v>0.22509999999999999</v>
      </c>
      <c r="E181" s="2"/>
      <c r="F181" s="2"/>
      <c r="G181" s="2">
        <f>IFERROR(IF($B$3="All",IF($E$3="2024",WHR_Comparison_2024_vs_2025!C97,WHR_Comparison_2024_vs_2025!J97),IF(WHR_Comparison_2024_vs_2025!A97=$B$3,IF($E$3="2024",WHR_Comparison_2024_vs_2025!C97,WHR_Comparison_2024_vs_2025!J97),NA())),NA())</f>
        <v>1.24870264530181</v>
      </c>
      <c r="H181" s="2">
        <f>IFERROR(IF($B$3="All",IF($E$3="2024",WHR_Comparison_2024_vs_2025!B97,WHR_Comparison_2024_vs_2025!I97),IF(WHR_Comparison_2024_vs_2025!A97=$B$3,IF($E$3="2024",WHR_Comparison_2024_vs_2025!B97,WHR_Comparison_2024_vs_2025!I97),NA())),NA())</f>
        <v>5.1659998893737704</v>
      </c>
      <c r="I181" s="2">
        <f>IFERROR(IF($B$3="All",IF($E$3="2024",WHR_Comparison_2024_vs_2025!F97,WHR_Comparison_2024_vs_2025!M97),IF(WHR_Comparison_2024_vs_2025!A97=$B$3,IF($E$3="2024",WHR_Comparison_2024_vs_2025!F97,WHR_Comparison_2024_vs_2025!M97),NA())),NA())</f>
        <v>0.42452463507652199</v>
      </c>
      <c r="J181" s="33">
        <f>IFERROR(IF($B$3="All",IF($E$3="2024",WHR_Comparison_2024_vs_2025!B97,WHR_Comparison_2024_vs_2025!I97),IF(WHR_Comparison_2024_vs_2025!A97=$B$3,IF($E$3="2024",WHR_Comparison_2024_vs_2025!B97,WHR_Comparison_2024_vs_2025!I97),NA())),NA())</f>
        <v>5.1659998893737704</v>
      </c>
    </row>
    <row r="182" spans="1:10" x14ac:dyDescent="0.3">
      <c r="A182" s="32" t="str">
        <f>IF($B$3="All",WHR_Comparison_2024_vs_2025!A98,IF(WHR_Comparison_2024_vs_2025!A98=$B$3,WHR_Comparison_2024_vs_2025!A98,NA()))</f>
        <v>Palestine</v>
      </c>
      <c r="B182" s="2">
        <f>IFERROR(IF($B$3="All",WHR_Comparison_2024_vs_2025!B98,IF(WHR_Comparison_2024_vs_2025!A98=$B$3,WHR_Comparison_2024_vs_2025!B98,NA())),NA())</f>
        <v>4.9078001976013104</v>
      </c>
      <c r="C182" s="2">
        <f>IFERROR(IF($B$3="All",WHR_Comparison_2024_vs_2025!I98,IF(WHR_Comparison_2024_vs_2025!A98=$B$3,WHR_Comparison_2024_vs_2025!I98,NA())),NA())</f>
        <v>4.8794999122619602</v>
      </c>
      <c r="D182" s="2">
        <f>IFERROR(IF($B$3="All",WHR_Comparison_2024_vs_2025!P98,IF(WHR_Comparison_2024_vs_2025!A98=$B$3,WHR_Comparison_2024_vs_2025!P98,NA())),NA())</f>
        <v>-2.8299999999999999E-2</v>
      </c>
      <c r="E182" s="2"/>
      <c r="F182" s="2"/>
      <c r="G182" s="2">
        <f>IFERROR(IF($B$3="All",IF($E$3="2024",WHR_Comparison_2024_vs_2025!C98,WHR_Comparison_2024_vs_2025!J98),IF(WHR_Comparison_2024_vs_2025!A98=$B$3,IF($E$3="2024",WHR_Comparison_2024_vs_2025!C98,WHR_Comparison_2024_vs_2025!J98),NA())),NA())</f>
        <v>1.2130000000000001</v>
      </c>
      <c r="H182" s="2">
        <f>IFERROR(IF($B$3="All",IF($E$3="2024",WHR_Comparison_2024_vs_2025!B98,WHR_Comparison_2024_vs_2025!I98),IF(WHR_Comparison_2024_vs_2025!A98=$B$3,IF($E$3="2024",WHR_Comparison_2024_vs_2025!B98,WHR_Comparison_2024_vs_2025!I98),NA())),NA())</f>
        <v>4.8794999122619602</v>
      </c>
      <c r="I182" s="2">
        <f>IFERROR(IF($B$3="All",IF($E$3="2024",WHR_Comparison_2024_vs_2025!F98,WHR_Comparison_2024_vs_2025!M98),IF(WHR_Comparison_2024_vs_2025!A98=$B$3,IF($E$3="2024",WHR_Comparison_2024_vs_2025!F98,WHR_Comparison_2024_vs_2025!M98),NA())),NA())</f>
        <v>0.71299999999999997</v>
      </c>
      <c r="J182" s="33">
        <f>IFERROR(IF($B$3="All",IF($E$3="2024",WHR_Comparison_2024_vs_2025!B98,WHR_Comparison_2024_vs_2025!I98),IF(WHR_Comparison_2024_vs_2025!A98=$B$3,IF($E$3="2024",WHR_Comparison_2024_vs_2025!B98,WHR_Comparison_2024_vs_2025!I98),NA())),NA())</f>
        <v>4.8794999122619602</v>
      </c>
    </row>
    <row r="183" spans="1:10" x14ac:dyDescent="0.3">
      <c r="A183" s="32" t="str">
        <f>IF($B$3="All",WHR_Comparison_2024_vs_2025!A99,IF(WHR_Comparison_2024_vs_2025!A99=$B$3,WHR_Comparison_2024_vs_2025!A99,NA()))</f>
        <v>Morocco</v>
      </c>
      <c r="B183" s="2">
        <f>IFERROR(IF($B$3="All",WHR_Comparison_2024_vs_2025!B99,IF(WHR_Comparison_2024_vs_2025!A99=$B$3,WHR_Comparison_2024_vs_2025!B99,NA())),NA())</f>
        <v>4.9028000831604004</v>
      </c>
      <c r="C183" s="2">
        <f>IFERROR(IF($B$3="All",WHR_Comparison_2024_vs_2025!I99,IF(WHR_Comparison_2024_vs_2025!A99=$B$3,WHR_Comparison_2024_vs_2025!I99,NA())),NA())</f>
        <v>4.7947001457214302</v>
      </c>
      <c r="D183" s="2">
        <f>IFERROR(IF($B$3="All",WHR_Comparison_2024_vs_2025!P99,IF(WHR_Comparison_2024_vs_2025!A99=$B$3,WHR_Comparison_2024_vs_2025!P99,NA())),NA())</f>
        <v>-0.1081</v>
      </c>
      <c r="E183" s="2"/>
      <c r="F183" s="2"/>
      <c r="G183" s="2">
        <f>IFERROR(IF($B$3="All",IF($E$3="2024",WHR_Comparison_2024_vs_2025!C99,WHR_Comparison_2024_vs_2025!J99),IF(WHR_Comparison_2024_vs_2025!A99=$B$3,IF($E$3="2024",WHR_Comparison_2024_vs_2025!C99,WHR_Comparison_2024_vs_2025!J99),NA())),NA())</f>
        <v>1.2134435176849301</v>
      </c>
      <c r="H183" s="2">
        <f>IFERROR(IF($B$3="All",IF($E$3="2024",WHR_Comparison_2024_vs_2025!B99,WHR_Comparison_2024_vs_2025!I99),IF(WHR_Comparison_2024_vs_2025!A99=$B$3,IF($E$3="2024",WHR_Comparison_2024_vs_2025!B99,WHR_Comparison_2024_vs_2025!I99),NA())),NA())</f>
        <v>4.7947001457214302</v>
      </c>
      <c r="I183" s="2">
        <f>IFERROR(IF($B$3="All",IF($E$3="2024",WHR_Comparison_2024_vs_2025!F99,WHR_Comparison_2024_vs_2025!M99),IF(WHR_Comparison_2024_vs_2025!A99=$B$3,IF($E$3="2024",WHR_Comparison_2024_vs_2025!F99,WHR_Comparison_2024_vs_2025!M99),NA())),NA())</f>
        <v>0.63110250234603804</v>
      </c>
      <c r="J183" s="33">
        <f>IFERROR(IF($B$3="All",IF($E$3="2024",WHR_Comparison_2024_vs_2025!B99,WHR_Comparison_2024_vs_2025!I99),IF(WHR_Comparison_2024_vs_2025!A99=$B$3,IF($E$3="2024",WHR_Comparison_2024_vs_2025!B99,WHR_Comparison_2024_vs_2025!I99),NA())),NA())</f>
        <v>4.7947001457214302</v>
      </c>
    </row>
    <row r="184" spans="1:10" x14ac:dyDescent="0.3">
      <c r="A184" s="32" t="str">
        <f>IF($B$3="All",WHR_Comparison_2024_vs_2025!A100,IF(WHR_Comparison_2024_vs_2025!A100=$B$3,WHR_Comparison_2024_vs_2025!A100,NA()))</f>
        <v>Iran</v>
      </c>
      <c r="B184" s="2">
        <f>IFERROR(IF($B$3="All",WHR_Comparison_2024_vs_2025!B100,IF(WHR_Comparison_2024_vs_2025!A100=$B$3,WHR_Comparison_2024_vs_2025!B100,NA())),NA())</f>
        <v>4.8762998580932599</v>
      </c>
      <c r="C184" s="2">
        <f>IFERROR(IF($B$3="All",WHR_Comparison_2024_vs_2025!I100,IF(WHR_Comparison_2024_vs_2025!A100=$B$3,WHR_Comparison_2024_vs_2025!I100,NA())),NA())</f>
        <v>4.9228000640869096</v>
      </c>
      <c r="D184" s="2">
        <f>IFERROR(IF($B$3="All",WHR_Comparison_2024_vs_2025!P100,IF(WHR_Comparison_2024_vs_2025!A100=$B$3,WHR_Comparison_2024_vs_2025!P100,NA())),NA())</f>
        <v>4.65E-2</v>
      </c>
      <c r="E184" s="2"/>
      <c r="F184" s="2"/>
      <c r="G184" s="2">
        <f>IFERROR(IF($B$3="All",IF($E$3="2024",WHR_Comparison_2024_vs_2025!C100,WHR_Comparison_2024_vs_2025!J100),IF(WHR_Comparison_2024_vs_2025!A100=$B$3,IF($E$3="2024",WHR_Comparison_2024_vs_2025!C100,WHR_Comparison_2024_vs_2025!J100),NA())),NA())</f>
        <v>1.4351887702941799</v>
      </c>
      <c r="H184" s="2">
        <f>IFERROR(IF($B$3="All",IF($E$3="2024",WHR_Comparison_2024_vs_2025!B100,WHR_Comparison_2024_vs_2025!I100),IF(WHR_Comparison_2024_vs_2025!A100=$B$3,IF($E$3="2024",WHR_Comparison_2024_vs_2025!B100,WHR_Comparison_2024_vs_2025!I100),NA())),NA())</f>
        <v>4.9228000640869096</v>
      </c>
      <c r="I184" s="2">
        <f>IFERROR(IF($B$3="All",IF($E$3="2024",WHR_Comparison_2024_vs_2025!F100,WHR_Comparison_2024_vs_2025!M100),IF(WHR_Comparison_2024_vs_2025!A100=$B$3,IF($E$3="2024",WHR_Comparison_2024_vs_2025!F100,WHR_Comparison_2024_vs_2025!M100),NA())),NA())</f>
        <v>0.36550146341323803</v>
      </c>
      <c r="J184" s="33">
        <f>IFERROR(IF($B$3="All",IF($E$3="2024",WHR_Comparison_2024_vs_2025!B100,WHR_Comparison_2024_vs_2025!I100),IF(WHR_Comparison_2024_vs_2025!A100=$B$3,IF($E$3="2024",WHR_Comparison_2024_vs_2025!B100,WHR_Comparison_2024_vs_2025!I100),NA())),NA())</f>
        <v>4.9228000640869096</v>
      </c>
    </row>
    <row r="185" spans="1:10" x14ac:dyDescent="0.3">
      <c r="A185" s="32" t="str">
        <f>IF($B$3="All",WHR_Comparison_2024_vs_2025!A101,IF(WHR_Comparison_2024_vs_2025!A101=$B$3,WHR_Comparison_2024_vs_2025!A101,NA()))</f>
        <v>Senegal</v>
      </c>
      <c r="B185" s="2">
        <f>IFERROR(IF($B$3="All",WHR_Comparison_2024_vs_2025!B101,IF(WHR_Comparison_2024_vs_2025!A101=$B$3,WHR_Comparison_2024_vs_2025!B101,NA())),NA())</f>
        <v>4.8551001548767001</v>
      </c>
      <c r="C185" s="2">
        <f>IFERROR(IF($B$3="All",WHR_Comparison_2024_vs_2025!I101,IF(WHR_Comparison_2024_vs_2025!A101=$B$3,WHR_Comparison_2024_vs_2025!I101,NA())),NA())</f>
        <v>4.9685997962951598</v>
      </c>
      <c r="D185" s="2">
        <f>IFERROR(IF($B$3="All",WHR_Comparison_2024_vs_2025!P101,IF(WHR_Comparison_2024_vs_2025!A101=$B$3,WHR_Comparison_2024_vs_2025!P101,NA())),NA())</f>
        <v>0.1135</v>
      </c>
      <c r="E185" s="2"/>
      <c r="F185" s="2"/>
      <c r="G185" s="2">
        <f>IFERROR(IF($B$3="All",IF($E$3="2024",WHR_Comparison_2024_vs_2025!C101,WHR_Comparison_2024_vs_2025!J101),IF(WHR_Comparison_2024_vs_2025!A101=$B$3,IF($E$3="2024",WHR_Comparison_2024_vs_2025!C101,WHR_Comparison_2024_vs_2025!J101),NA())),NA())</f>
        <v>0.92735916376113803</v>
      </c>
      <c r="H185" s="2">
        <f>IFERROR(IF($B$3="All",IF($E$3="2024",WHR_Comparison_2024_vs_2025!B101,WHR_Comparison_2024_vs_2025!I101),IF(WHR_Comparison_2024_vs_2025!A101=$B$3,IF($E$3="2024",WHR_Comparison_2024_vs_2025!B101,WHR_Comparison_2024_vs_2025!I101),NA())),NA())</f>
        <v>4.9685997962951598</v>
      </c>
      <c r="I185" s="2">
        <f>IFERROR(IF($B$3="All",IF($E$3="2024",WHR_Comparison_2024_vs_2025!F101,WHR_Comparison_2024_vs_2025!M101),IF(WHR_Comparison_2024_vs_2025!A101=$B$3,IF($E$3="2024",WHR_Comparison_2024_vs_2025!F101,WHR_Comparison_2024_vs_2025!M101),NA())),NA())</f>
        <v>0.60675263404846103</v>
      </c>
      <c r="J185" s="33">
        <f>IFERROR(IF($B$3="All",IF($E$3="2024",WHR_Comparison_2024_vs_2025!B101,WHR_Comparison_2024_vs_2025!I101),IF(WHR_Comparison_2024_vs_2025!A101=$B$3,IF($E$3="2024",WHR_Comparison_2024_vs_2025!B101,WHR_Comparison_2024_vs_2025!I101),NA())),NA())</f>
        <v>4.9685997962951598</v>
      </c>
    </row>
    <row r="186" spans="1:10" x14ac:dyDescent="0.3">
      <c r="A186" s="32" t="str">
        <f>IF($B$3="All",WHR_Comparison_2024_vs_2025!A102,IF(WHR_Comparison_2024_vs_2025!A102=$B$3,WHR_Comparison_2024_vs_2025!A102,NA()))</f>
        <v>Mauritania</v>
      </c>
      <c r="B186" s="2">
        <f>IFERROR(IF($B$3="All",WHR_Comparison_2024_vs_2025!B102,IF(WHR_Comparison_2024_vs_2025!A102=$B$3,WHR_Comparison_2024_vs_2025!B102,NA())),NA())</f>
        <v>4.7238998413085902</v>
      </c>
      <c r="C186" s="2">
        <f>IFERROR(IF($B$3="All",WHR_Comparison_2024_vs_2025!I102,IF(WHR_Comparison_2024_vs_2025!A102=$B$3,WHR_Comparison_2024_vs_2025!I102,NA())),NA())</f>
        <v>4.5050997734069798</v>
      </c>
      <c r="D186" s="2">
        <f>IFERROR(IF($B$3="All",WHR_Comparison_2024_vs_2025!P102,IF(WHR_Comparison_2024_vs_2025!A102=$B$3,WHR_Comparison_2024_vs_2025!P102,NA())),NA())</f>
        <v>-0.21879999999999999</v>
      </c>
      <c r="E186" s="2"/>
      <c r="F186" s="2"/>
      <c r="G186" s="2">
        <f>IFERROR(IF($B$3="All",IF($E$3="2024",WHR_Comparison_2024_vs_2025!C102,WHR_Comparison_2024_vs_2025!J102),IF(WHR_Comparison_2024_vs_2025!A102=$B$3,IF($E$3="2024",WHR_Comparison_2024_vs_2025!C102,WHR_Comparison_2024_vs_2025!J102),NA())),NA())</f>
        <v>1.07766008377075</v>
      </c>
      <c r="H186" s="2">
        <f>IFERROR(IF($B$3="All",IF($E$3="2024",WHR_Comparison_2024_vs_2025!B102,WHR_Comparison_2024_vs_2025!I102),IF(WHR_Comparison_2024_vs_2025!A102=$B$3,IF($E$3="2024",WHR_Comparison_2024_vs_2025!B102,WHR_Comparison_2024_vs_2025!I102),NA())),NA())</f>
        <v>4.5050997734069798</v>
      </c>
      <c r="I186" s="2">
        <f>IFERROR(IF($B$3="All",IF($E$3="2024",WHR_Comparison_2024_vs_2025!F102,WHR_Comparison_2024_vs_2025!M102),IF(WHR_Comparison_2024_vs_2025!A102=$B$3,IF($E$3="2024",WHR_Comparison_2024_vs_2025!F102,WHR_Comparison_2024_vs_2025!M102),NA())),NA())</f>
        <v>0.34259742498397799</v>
      </c>
      <c r="J186" s="33">
        <f>IFERROR(IF($B$3="All",IF($E$3="2024",WHR_Comparison_2024_vs_2025!B102,WHR_Comparison_2024_vs_2025!I102),IF(WHR_Comparison_2024_vs_2025!A102=$B$3,IF($E$3="2024",WHR_Comparison_2024_vs_2025!B102,WHR_Comparison_2024_vs_2025!I102),NA())),NA())</f>
        <v>4.5050997734069798</v>
      </c>
    </row>
    <row r="187" spans="1:10" x14ac:dyDescent="0.3">
      <c r="A187" s="32" t="str">
        <f>IF($B$3="All",WHR_Comparison_2024_vs_2025!A103,IF(WHR_Comparison_2024_vs_2025!A103=$B$3,WHR_Comparison_2024_vs_2025!A103,NA()))</f>
        <v>Burkina Faso</v>
      </c>
      <c r="B187" s="2">
        <f>IFERROR(IF($B$3="All",WHR_Comparison_2024_vs_2025!B103,IF(WHR_Comparison_2024_vs_2025!A103=$B$3,WHR_Comparison_2024_vs_2025!B103,NA())),NA())</f>
        <v>4.6375999450683496</v>
      </c>
      <c r="C187" s="2">
        <f>IFERROR(IF($B$3="All",WHR_Comparison_2024_vs_2025!I103,IF(WHR_Comparison_2024_vs_2025!A103=$B$3,WHR_Comparison_2024_vs_2025!I103,NA())),NA())</f>
        <v>4.5479998588562003</v>
      </c>
      <c r="D187" s="2">
        <f>IFERROR(IF($B$3="All",WHR_Comparison_2024_vs_2025!P103,IF(WHR_Comparison_2024_vs_2025!A103=$B$3,WHR_Comparison_2024_vs_2025!P103,NA())),NA())</f>
        <v>-8.9599999999999999E-2</v>
      </c>
      <c r="E187" s="2"/>
      <c r="F187" s="2"/>
      <c r="G187" s="2">
        <f>IFERROR(IF($B$3="All",IF($E$3="2024",WHR_Comparison_2024_vs_2025!C103,WHR_Comparison_2024_vs_2025!J103),IF(WHR_Comparison_2024_vs_2025!A103=$B$3,IF($E$3="2024",WHR_Comparison_2024_vs_2025!C103,WHR_Comparison_2024_vs_2025!J103),NA())),NA())</f>
        <v>0.75584930181503296</v>
      </c>
      <c r="H187" s="2">
        <f>IFERROR(IF($B$3="All",IF($E$3="2024",WHR_Comparison_2024_vs_2025!B103,WHR_Comparison_2024_vs_2025!I103),IF(WHR_Comparison_2024_vs_2025!A103=$B$3,IF($E$3="2024",WHR_Comparison_2024_vs_2025!B103,WHR_Comparison_2024_vs_2025!I103),NA())),NA())</f>
        <v>4.5479998588562003</v>
      </c>
      <c r="I187" s="2">
        <f>IFERROR(IF($B$3="All",IF($E$3="2024",WHR_Comparison_2024_vs_2025!F103,WHR_Comparison_2024_vs_2025!M103),IF(WHR_Comparison_2024_vs_2025!A103=$B$3,IF($E$3="2024",WHR_Comparison_2024_vs_2025!F103,WHR_Comparison_2024_vs_2025!M103),NA())),NA())</f>
        <v>0.482939183712005</v>
      </c>
      <c r="J187" s="33">
        <f>IFERROR(IF($B$3="All",IF($E$3="2024",WHR_Comparison_2024_vs_2025!B103,WHR_Comparison_2024_vs_2025!I103),IF(WHR_Comparison_2024_vs_2025!A103=$B$3,IF($E$3="2024",WHR_Comparison_2024_vs_2025!B103,WHR_Comparison_2024_vs_2025!I103),NA())),NA())</f>
        <v>4.5479998588562003</v>
      </c>
    </row>
    <row r="188" spans="1:10" x14ac:dyDescent="0.3">
      <c r="A188" s="32" t="str">
        <f>IF($B$3="All",WHR_Comparison_2024_vs_2025!A104,IF(WHR_Comparison_2024_vs_2025!A104=$B$3,WHR_Comparison_2024_vs_2025!A104,NA()))</f>
        <v>Namibia</v>
      </c>
      <c r="B188" s="2">
        <f>IFERROR(IF($B$3="All",WHR_Comparison_2024_vs_2025!B104,IF(WHR_Comparison_2024_vs_2025!A104=$B$3,WHR_Comparison_2024_vs_2025!B104,NA())),NA())</f>
        <v>4.6307997703552202</v>
      </c>
      <c r="C188" s="2">
        <f>IFERROR(IF($B$3="All",WHR_Comparison_2024_vs_2025!I104,IF(WHR_Comparison_2024_vs_2025!A104=$B$3,WHR_Comparison_2024_vs_2025!I104,NA())),NA())</f>
        <v>4.8316998481750399</v>
      </c>
      <c r="D188" s="2">
        <f>IFERROR(IF($B$3="All",WHR_Comparison_2024_vs_2025!P104,IF(WHR_Comparison_2024_vs_2025!A104=$B$3,WHR_Comparison_2024_vs_2025!P104,NA())),NA())</f>
        <v>0.2009</v>
      </c>
      <c r="E188" s="2"/>
      <c r="F188" s="2"/>
      <c r="G188" s="2">
        <f>IFERROR(IF($B$3="All",IF($E$3="2024",WHR_Comparison_2024_vs_2025!C104,WHR_Comparison_2024_vs_2025!J104),IF(WHR_Comparison_2024_vs_2025!A104=$B$3,IF($E$3="2024",WHR_Comparison_2024_vs_2025!C104,WHR_Comparison_2024_vs_2025!J104),NA())),NA())</f>
        <v>1.26634609699249</v>
      </c>
      <c r="H188" s="2">
        <f>IFERROR(IF($B$3="All",IF($E$3="2024",WHR_Comparison_2024_vs_2025!B104,WHR_Comparison_2024_vs_2025!I104),IF(WHR_Comparison_2024_vs_2025!A104=$B$3,IF($E$3="2024",WHR_Comparison_2024_vs_2025!B104,WHR_Comparison_2024_vs_2025!I104),NA())),NA())</f>
        <v>4.8316998481750399</v>
      </c>
      <c r="I188" s="2">
        <f>IFERROR(IF($B$3="All",IF($E$3="2024",WHR_Comparison_2024_vs_2025!F104,WHR_Comparison_2024_vs_2025!M104),IF(WHR_Comparison_2024_vs_2025!A104=$B$3,IF($E$3="2024",WHR_Comparison_2024_vs_2025!F104,WHR_Comparison_2024_vs_2025!M104),NA())),NA())</f>
        <v>0.46973705291748002</v>
      </c>
      <c r="J188" s="33">
        <f>IFERROR(IF($B$3="All",IF($E$3="2024",WHR_Comparison_2024_vs_2025!B104,WHR_Comparison_2024_vs_2025!I104),IF(WHR_Comparison_2024_vs_2025!A104=$B$3,IF($E$3="2024",WHR_Comparison_2024_vs_2025!B104,WHR_Comparison_2024_vs_2025!I104),NA())),NA())</f>
        <v>4.8316998481750399</v>
      </c>
    </row>
    <row r="189" spans="1:10" x14ac:dyDescent="0.3">
      <c r="A189" s="32" t="str">
        <f>IF($B$3="All",WHR_Comparison_2024_vs_2025!A105,IF(WHR_Comparison_2024_vs_2025!A105=$B$3,WHR_Comparison_2024_vs_2025!A105,NA()))</f>
        <v>Turkiye</v>
      </c>
      <c r="B189" s="2">
        <f>IFERROR(IF($B$3="All",WHR_Comparison_2024_vs_2025!B105,IF(WHR_Comparison_2024_vs_2025!A105=$B$3,WHR_Comparison_2024_vs_2025!B105,NA())),NA())</f>
        <v>4.6135001182556099</v>
      </c>
      <c r="C189" s="2">
        <f>IFERROR(IF($B$3="All",WHR_Comparison_2024_vs_2025!I105,IF(WHR_Comparison_2024_vs_2025!A105=$B$3,WHR_Comparison_2024_vs_2025!I105,NA())),NA())</f>
        <v>4.9752998352050701</v>
      </c>
      <c r="D189" s="2">
        <f>IFERROR(IF($B$3="All",WHR_Comparison_2024_vs_2025!P105,IF(WHR_Comparison_2024_vs_2025!A105=$B$3,WHR_Comparison_2024_vs_2025!P105,NA())),NA())</f>
        <v>0.36180000000000001</v>
      </c>
      <c r="E189" s="2"/>
      <c r="F189" s="2"/>
      <c r="G189" s="2">
        <f>IFERROR(IF($B$3="All",IF($E$3="2024",WHR_Comparison_2024_vs_2025!C105,WHR_Comparison_2024_vs_2025!J105),IF(WHR_Comparison_2024_vs_2025!A105=$B$3,IF($E$3="2024",WHR_Comparison_2024_vs_2025!C105,WHR_Comparison_2024_vs_2025!J105),NA())),NA())</f>
        <v>1.70157802104949</v>
      </c>
      <c r="H189" s="2">
        <f>IFERROR(IF($B$3="All",IF($E$3="2024",WHR_Comparison_2024_vs_2025!B105,WHR_Comparison_2024_vs_2025!I105),IF(WHR_Comparison_2024_vs_2025!A105=$B$3,IF($E$3="2024",WHR_Comparison_2024_vs_2025!B105,WHR_Comparison_2024_vs_2025!I105),NA())),NA())</f>
        <v>4.9752998352050701</v>
      </c>
      <c r="I189" s="2">
        <f>IFERROR(IF($B$3="All",IF($E$3="2024",WHR_Comparison_2024_vs_2025!F105,WHR_Comparison_2024_vs_2025!M105),IF(WHR_Comparison_2024_vs_2025!A105=$B$3,IF($E$3="2024",WHR_Comparison_2024_vs_2025!F105,WHR_Comparison_2024_vs_2025!M105),NA())),NA())</f>
        <v>0.20207588374614699</v>
      </c>
      <c r="J189" s="33">
        <f>IFERROR(IF($B$3="All",IF($E$3="2024",WHR_Comparison_2024_vs_2025!B105,WHR_Comparison_2024_vs_2025!I105),IF(WHR_Comparison_2024_vs_2025!A105=$B$3,IF($E$3="2024",WHR_Comparison_2024_vs_2025!B105,WHR_Comparison_2024_vs_2025!I105),NA())),NA())</f>
        <v>4.9752998352050701</v>
      </c>
    </row>
    <row r="190" spans="1:10" x14ac:dyDescent="0.3">
      <c r="A190" s="32" t="str">
        <f>IF($B$3="All",WHR_Comparison_2024_vs_2025!A106,IF(WHR_Comparison_2024_vs_2025!A106=$B$3,WHR_Comparison_2024_vs_2025!A106,NA()))</f>
        <v>Ghana</v>
      </c>
      <c r="B190" s="2">
        <f>IFERROR(IF($B$3="All",WHR_Comparison_2024_vs_2025!B106,IF(WHR_Comparison_2024_vs_2025!A106=$B$3,WHR_Comparison_2024_vs_2025!B106,NA())),NA())</f>
        <v>4.6050000190734801</v>
      </c>
      <c r="C190" s="2">
        <f>IFERROR(IF($B$3="All",WHR_Comparison_2024_vs_2025!I106,IF(WHR_Comparison_2024_vs_2025!A106=$B$3,WHR_Comparison_2024_vs_2025!I106,NA())),NA())</f>
        <v>4.2894001007079998</v>
      </c>
      <c r="D190" s="2">
        <f>IFERROR(IF($B$3="All",WHR_Comparison_2024_vs_2025!P106,IF(WHR_Comparison_2024_vs_2025!A106=$B$3,WHR_Comparison_2024_vs_2025!P106,NA())),NA())</f>
        <v>-0.31559999999999999</v>
      </c>
      <c r="E190" s="2"/>
      <c r="F190" s="2"/>
      <c r="G190" s="2">
        <f>IFERROR(IF($B$3="All",IF($E$3="2024",WHR_Comparison_2024_vs_2025!C106,WHR_Comparison_2024_vs_2025!J106),IF(WHR_Comparison_2024_vs_2025!A106=$B$3,IF($E$3="2024",WHR_Comparison_2024_vs_2025!C106,WHR_Comparison_2024_vs_2025!J106),NA())),NA())</f>
        <v>1.07651007175445</v>
      </c>
      <c r="H190" s="2">
        <f>IFERROR(IF($B$3="All",IF($E$3="2024",WHR_Comparison_2024_vs_2025!B106,WHR_Comparison_2024_vs_2025!I106),IF(WHR_Comparison_2024_vs_2025!A106=$B$3,IF($E$3="2024",WHR_Comparison_2024_vs_2025!B106,WHR_Comparison_2024_vs_2025!I106),NA())),NA())</f>
        <v>4.2894001007079998</v>
      </c>
      <c r="I190" s="2">
        <f>IFERROR(IF($B$3="All",IF($E$3="2024",WHR_Comparison_2024_vs_2025!F106,WHR_Comparison_2024_vs_2025!M106),IF(WHR_Comparison_2024_vs_2025!A106=$B$3,IF($E$3="2024",WHR_Comparison_2024_vs_2025!F106,WHR_Comparison_2024_vs_2025!M106),NA())),NA())</f>
        <v>0.62322330474853505</v>
      </c>
      <c r="J190" s="33">
        <f>IFERROR(IF($B$3="All",IF($E$3="2024",WHR_Comparison_2024_vs_2025!B106,WHR_Comparison_2024_vs_2025!I106),IF(WHR_Comparison_2024_vs_2025!A106=$B$3,IF($E$3="2024",WHR_Comparison_2024_vs_2025!B106,WHR_Comparison_2024_vs_2025!I106),NA())),NA())</f>
        <v>4.2894001007079998</v>
      </c>
    </row>
    <row r="191" spans="1:10" x14ac:dyDescent="0.3">
      <c r="A191" s="32" t="str">
        <f>IF($B$3="All",WHR_Comparison_2024_vs_2025!A107,IF(WHR_Comparison_2024_vs_2025!A107=$B$3,WHR_Comparison_2024_vs_2025!A107,NA()))</f>
        <v>Pakistan</v>
      </c>
      <c r="B191" s="2">
        <f>IFERROR(IF($B$3="All",WHR_Comparison_2024_vs_2025!B107,IF(WHR_Comparison_2024_vs_2025!A107=$B$3,WHR_Comparison_2024_vs_2025!B107,NA())),NA())</f>
        <v>4.5553998947143501</v>
      </c>
      <c r="C191" s="2">
        <f>IFERROR(IF($B$3="All",WHR_Comparison_2024_vs_2025!I107,IF(WHR_Comparison_2024_vs_2025!A107=$B$3,WHR_Comparison_2024_vs_2025!I107,NA())),NA())</f>
        <v>4.6567001342773402</v>
      </c>
      <c r="D191" s="2">
        <f>IFERROR(IF($B$3="All",WHR_Comparison_2024_vs_2025!P107,IF(WHR_Comparison_2024_vs_2025!A107=$B$3,WHR_Comparison_2024_vs_2025!P107,NA())),NA())</f>
        <v>0.1013</v>
      </c>
      <c r="E191" s="2"/>
      <c r="F191" s="2"/>
      <c r="G191" s="2">
        <f>IFERROR(IF($B$3="All",IF($E$3="2024",WHR_Comparison_2024_vs_2025!C107,WHR_Comparison_2024_vs_2025!J107),IF(WHR_Comparison_2024_vs_2025!A107=$B$3,IF($E$3="2024",WHR_Comparison_2024_vs_2025!C107,WHR_Comparison_2024_vs_2025!J107),NA())),NA())</f>
        <v>1.06854236125946</v>
      </c>
      <c r="H191" s="2">
        <f>IFERROR(IF($B$3="All",IF($E$3="2024",WHR_Comparison_2024_vs_2025!B107,WHR_Comparison_2024_vs_2025!I107),IF(WHR_Comparison_2024_vs_2025!A107=$B$3,IF($E$3="2024",WHR_Comparison_2024_vs_2025!B107,WHR_Comparison_2024_vs_2025!I107),NA())),NA())</f>
        <v>4.6567001342773402</v>
      </c>
      <c r="I191" s="2">
        <f>IFERROR(IF($B$3="All",IF($E$3="2024",WHR_Comparison_2024_vs_2025!F107,WHR_Comparison_2024_vs_2025!M107),IF(WHR_Comparison_2024_vs_2025!A107=$B$3,IF($E$3="2024",WHR_Comparison_2024_vs_2025!F107,WHR_Comparison_2024_vs_2025!M107),NA())),NA())</f>
        <v>0.54194521903991699</v>
      </c>
      <c r="J191" s="33">
        <f>IFERROR(IF($B$3="All",IF($E$3="2024",WHR_Comparison_2024_vs_2025!B107,WHR_Comparison_2024_vs_2025!I107),IF(WHR_Comparison_2024_vs_2025!A107=$B$3,IF($E$3="2024",WHR_Comparison_2024_vs_2025!B107,WHR_Comparison_2024_vs_2025!I107),NA())),NA())</f>
        <v>4.6567001342773402</v>
      </c>
    </row>
    <row r="192" spans="1:10" x14ac:dyDescent="0.3">
      <c r="A192" s="32" t="str">
        <f>IF($B$3="All",WHR_Comparison_2024_vs_2025!A108,IF(WHR_Comparison_2024_vs_2025!A108=$B$3,WHR_Comparison_2024_vs_2025!A108,NA()))</f>
        <v>Niger</v>
      </c>
      <c r="B192" s="2">
        <f>IFERROR(IF($B$3="All",WHR_Comparison_2024_vs_2025!B108,IF(WHR_Comparison_2024_vs_2025!A108=$B$3,WHR_Comparison_2024_vs_2025!B108,NA())),NA())</f>
        <v>4.5012998580932599</v>
      </c>
      <c r="C192" s="2">
        <f>IFERROR(IF($B$3="All",WHR_Comparison_2024_vs_2025!I108,IF(WHR_Comparison_2024_vs_2025!A108=$B$3,WHR_Comparison_2024_vs_2025!I108,NA())),NA())</f>
        <v>4.5563001632690403</v>
      </c>
      <c r="D192" s="2">
        <f>IFERROR(IF($B$3="All",WHR_Comparison_2024_vs_2025!P108,IF(WHR_Comparison_2024_vs_2025!A108=$B$3,WHR_Comparison_2024_vs_2025!P108,NA())),NA())</f>
        <v>5.5E-2</v>
      </c>
      <c r="E192" s="2"/>
      <c r="F192" s="2"/>
      <c r="G192" s="2">
        <f>IFERROR(IF($B$3="All",IF($E$3="2024",WHR_Comparison_2024_vs_2025!C108,WHR_Comparison_2024_vs_2025!J108),IF(WHR_Comparison_2024_vs_2025!A108=$B$3,IF($E$3="2024",WHR_Comparison_2024_vs_2025!C108,WHR_Comparison_2024_vs_2025!J108),NA())),NA())</f>
        <v>0.57284975051879805</v>
      </c>
      <c r="H192" s="2">
        <f>IFERROR(IF($B$3="All",IF($E$3="2024",WHR_Comparison_2024_vs_2025!B108,WHR_Comparison_2024_vs_2025!I108),IF(WHR_Comparison_2024_vs_2025!A108=$B$3,IF($E$3="2024",WHR_Comparison_2024_vs_2025!B108,WHR_Comparison_2024_vs_2025!I108),NA())),NA())</f>
        <v>4.5563001632690403</v>
      </c>
      <c r="I192" s="2">
        <f>IFERROR(IF($B$3="All",IF($E$3="2024",WHR_Comparison_2024_vs_2025!F108,WHR_Comparison_2024_vs_2025!M108),IF(WHR_Comparison_2024_vs_2025!A108=$B$3,IF($E$3="2024",WHR_Comparison_2024_vs_2025!F108,WHR_Comparison_2024_vs_2025!M108),NA())),NA())</f>
        <v>0.614515721797943</v>
      </c>
      <c r="J192" s="33">
        <f>IFERROR(IF($B$3="All",IF($E$3="2024",WHR_Comparison_2024_vs_2025!B108,WHR_Comparison_2024_vs_2025!I108),IF(WHR_Comparison_2024_vs_2025!A108=$B$3,IF($E$3="2024",WHR_Comparison_2024_vs_2025!B108,WHR_Comparison_2024_vs_2025!I108),NA())),NA())</f>
        <v>4.5563001632690403</v>
      </c>
    </row>
    <row r="193" spans="1:10" x14ac:dyDescent="0.3">
      <c r="A193" s="32" t="str">
        <f>IF($B$3="All",WHR_Comparison_2024_vs_2025!A109,IF(WHR_Comparison_2024_vs_2025!A109=$B$3,WHR_Comparison_2024_vs_2025!A109,NA()))</f>
        <v>Tunisia</v>
      </c>
      <c r="B193" s="2">
        <f>IFERROR(IF($B$3="All",WHR_Comparison_2024_vs_2025!B109,IF(WHR_Comparison_2024_vs_2025!A109=$B$3,WHR_Comparison_2024_vs_2025!B109,NA())),NA())</f>
        <v>4.49669981002807</v>
      </c>
      <c r="C193" s="2">
        <f>IFERROR(IF($B$3="All",WHR_Comparison_2024_vs_2025!I109,IF(WHR_Comparison_2024_vs_2025!A109=$B$3,WHR_Comparison_2024_vs_2025!I109,NA())),NA())</f>
        <v>4.4218001365661603</v>
      </c>
      <c r="D193" s="2">
        <f>IFERROR(IF($B$3="All",WHR_Comparison_2024_vs_2025!P109,IF(WHR_Comparison_2024_vs_2025!A109=$B$3,WHR_Comparison_2024_vs_2025!P109,NA())),NA())</f>
        <v>-7.4899999999999994E-2</v>
      </c>
      <c r="E193" s="2"/>
      <c r="F193" s="2"/>
      <c r="G193" s="2">
        <f>IFERROR(IF($B$3="All",IF($E$3="2024",WHR_Comparison_2024_vs_2025!C109,WHR_Comparison_2024_vs_2025!J109),IF(WHR_Comparison_2024_vs_2025!A109=$B$3,IF($E$3="2024",WHR_Comparison_2024_vs_2025!C109,WHR_Comparison_2024_vs_2025!J109),NA())),NA())</f>
        <v>1.3064451217651301</v>
      </c>
      <c r="H193" s="2">
        <f>IFERROR(IF($B$3="All",IF($E$3="2024",WHR_Comparison_2024_vs_2025!B109,WHR_Comparison_2024_vs_2025!I109),IF(WHR_Comparison_2024_vs_2025!A109=$B$3,IF($E$3="2024",WHR_Comparison_2024_vs_2025!B109,WHR_Comparison_2024_vs_2025!I109),NA())),NA())</f>
        <v>4.4218001365661603</v>
      </c>
      <c r="I193" s="2">
        <f>IFERROR(IF($B$3="All",IF($E$3="2024",WHR_Comparison_2024_vs_2025!F109,WHR_Comparison_2024_vs_2025!M109),IF(WHR_Comparison_2024_vs_2025!A109=$B$3,IF($E$3="2024",WHR_Comparison_2024_vs_2025!F109,WHR_Comparison_2024_vs_2025!M109),NA())),NA())</f>
        <v>0.25393915176391602</v>
      </c>
      <c r="J193" s="33">
        <f>IFERROR(IF($B$3="All",IF($E$3="2024",WHR_Comparison_2024_vs_2025!B109,WHR_Comparison_2024_vs_2025!I109),IF(WHR_Comparison_2024_vs_2025!A109=$B$3,IF($E$3="2024",WHR_Comparison_2024_vs_2025!B109,WHR_Comparison_2024_vs_2025!I109),NA())),NA())</f>
        <v>4.4218001365661603</v>
      </c>
    </row>
    <row r="194" spans="1:10" x14ac:dyDescent="0.3">
      <c r="A194" s="32" t="str">
        <f>IF($B$3="All",WHR_Comparison_2024_vs_2025!A110,IF(WHR_Comparison_2024_vs_2025!A110=$B$3,WHR_Comparison_2024_vs_2025!A110,NA()))</f>
        <v>Kenya</v>
      </c>
      <c r="B194" s="2">
        <f>IFERROR(IF($B$3="All",WHR_Comparison_2024_vs_2025!B110,IF(WHR_Comparison_2024_vs_2025!A110=$B$3,WHR_Comparison_2024_vs_2025!B110,NA())),NA())</f>
        <v>4.4865999221801696</v>
      </c>
      <c r="C194" s="2">
        <f>IFERROR(IF($B$3="All",WHR_Comparison_2024_vs_2025!I110,IF(WHR_Comparison_2024_vs_2025!A110=$B$3,WHR_Comparison_2024_vs_2025!I110,NA())),NA())</f>
        <v>4.46960020065307</v>
      </c>
      <c r="D194" s="2">
        <f>IFERROR(IF($B$3="All",WHR_Comparison_2024_vs_2025!P110,IF(WHR_Comparison_2024_vs_2025!A110=$B$3,WHR_Comparison_2024_vs_2025!P110,NA())),NA())</f>
        <v>-1.7000000000000001E-2</v>
      </c>
      <c r="E194" s="2"/>
      <c r="F194" s="2"/>
      <c r="G194" s="2">
        <f>IFERROR(IF($B$3="All",IF($E$3="2024",WHR_Comparison_2024_vs_2025!C110,WHR_Comparison_2024_vs_2025!J110),IF(WHR_Comparison_2024_vs_2025!A110=$B$3,IF($E$3="2024",WHR_Comparison_2024_vs_2025!C110,WHR_Comparison_2024_vs_2025!J110),NA())),NA())</f>
        <v>1.03673732280731</v>
      </c>
      <c r="H194" s="2">
        <f>IFERROR(IF($B$3="All",IF($E$3="2024",WHR_Comparison_2024_vs_2025!B110,WHR_Comparison_2024_vs_2025!I110),IF(WHR_Comparison_2024_vs_2025!A110=$B$3,IF($E$3="2024",WHR_Comparison_2024_vs_2025!B110,WHR_Comparison_2024_vs_2025!I110),NA())),NA())</f>
        <v>4.46960020065307</v>
      </c>
      <c r="I194" s="2">
        <f>IFERROR(IF($B$3="All",IF($E$3="2024",WHR_Comparison_2024_vs_2025!F110,WHR_Comparison_2024_vs_2025!M110),IF(WHR_Comparison_2024_vs_2025!A110=$B$3,IF($E$3="2024",WHR_Comparison_2024_vs_2025!F110,WHR_Comparison_2024_vs_2025!M110),NA())),NA())</f>
        <v>0.51859217882156305</v>
      </c>
      <c r="J194" s="33">
        <f>IFERROR(IF($B$3="All",IF($E$3="2024",WHR_Comparison_2024_vs_2025!B110,WHR_Comparison_2024_vs_2025!I110),IF(WHR_Comparison_2024_vs_2025!A110=$B$3,IF($E$3="2024",WHR_Comparison_2024_vs_2025!B110,WHR_Comparison_2024_vs_2025!I110),NA())),NA())</f>
        <v>4.46960020065307</v>
      </c>
    </row>
    <row r="195" spans="1:10" x14ac:dyDescent="0.3">
      <c r="A195" s="32" t="str">
        <f>IF($B$3="All",WHR_Comparison_2024_vs_2025!A111,IF(WHR_Comparison_2024_vs_2025!A111=$B$3,WHR_Comparison_2024_vs_2025!A111,NA()))</f>
        <v>Sri Lanka</v>
      </c>
      <c r="B195" s="2">
        <f>IFERROR(IF($B$3="All",WHR_Comparison_2024_vs_2025!B111,IF(WHR_Comparison_2024_vs_2025!A111=$B$3,WHR_Comparison_2024_vs_2025!B111,NA())),NA())</f>
        <v>4.4415998458862296</v>
      </c>
      <c r="C195" s="2">
        <f>IFERROR(IF($B$3="All",WHR_Comparison_2024_vs_2025!I111,IF(WHR_Comparison_2024_vs_2025!A111=$B$3,WHR_Comparison_2024_vs_2025!I111,NA())),NA())</f>
        <v>3.89809989929199</v>
      </c>
      <c r="D195" s="2">
        <f>IFERROR(IF($B$3="All",WHR_Comparison_2024_vs_2025!P111,IF(WHR_Comparison_2024_vs_2025!A111=$B$3,WHR_Comparison_2024_vs_2025!P111,NA())),NA())</f>
        <v>-0.54349999999999998</v>
      </c>
      <c r="E195" s="2"/>
      <c r="F195" s="2"/>
      <c r="G195" s="2">
        <f>IFERROR(IF($B$3="All",IF($E$3="2024",WHR_Comparison_2024_vs_2025!C111,WHR_Comparison_2024_vs_2025!J111),IF(WHR_Comparison_2024_vs_2025!A111=$B$3,IF($E$3="2024",WHR_Comparison_2024_vs_2025!C111,WHR_Comparison_2024_vs_2025!J111),NA())),NA())</f>
        <v>1.36097240447998</v>
      </c>
      <c r="H195" s="2">
        <f>IFERROR(IF($B$3="All",IF($E$3="2024",WHR_Comparison_2024_vs_2025!B111,WHR_Comparison_2024_vs_2025!I111),IF(WHR_Comparison_2024_vs_2025!A111=$B$3,IF($E$3="2024",WHR_Comparison_2024_vs_2025!B111,WHR_Comparison_2024_vs_2025!I111),NA())),NA())</f>
        <v>3.89809989929199</v>
      </c>
      <c r="I195" s="2">
        <f>IFERROR(IF($B$3="All",IF($E$3="2024",WHR_Comparison_2024_vs_2025!F111,WHR_Comparison_2024_vs_2025!M111),IF(WHR_Comparison_2024_vs_2025!A111=$B$3,IF($E$3="2024",WHR_Comparison_2024_vs_2025!F111,WHR_Comparison_2024_vs_2025!M111),NA())),NA())</f>
        <v>0.58306217193603505</v>
      </c>
      <c r="J195" s="33">
        <f>IFERROR(IF($B$3="All",IF($E$3="2024",WHR_Comparison_2024_vs_2025!B111,WHR_Comparison_2024_vs_2025!I111),IF(WHR_Comparison_2024_vs_2025!A111=$B$3,IF($E$3="2024",WHR_Comparison_2024_vs_2025!B111,WHR_Comparison_2024_vs_2025!I111),NA())),NA())</f>
        <v>3.89809989929199</v>
      </c>
    </row>
    <row r="196" spans="1:10" x14ac:dyDescent="0.3">
      <c r="A196" s="32" t="str">
        <f>IF($B$3="All",WHR_Comparison_2024_vs_2025!A112,IF(WHR_Comparison_2024_vs_2025!A112=$B$3,WHR_Comparison_2024_vs_2025!A112,NA()))</f>
        <v>Uganda</v>
      </c>
      <c r="B196" s="2">
        <f>IFERROR(IF($B$3="All",WHR_Comparison_2024_vs_2025!B112,IF(WHR_Comparison_2024_vs_2025!A112=$B$3,WHR_Comparison_2024_vs_2025!B112,NA())),NA())</f>
        <v>4.4324998855590803</v>
      </c>
      <c r="C196" s="2">
        <f>IFERROR(IF($B$3="All",WHR_Comparison_2024_vs_2025!I112,IF(WHR_Comparison_2024_vs_2025!A112=$B$3,WHR_Comparison_2024_vs_2025!I112,NA())),NA())</f>
        <v>4.37169981002807</v>
      </c>
      <c r="D196" s="2">
        <f>IFERROR(IF($B$3="All",WHR_Comparison_2024_vs_2025!P112,IF(WHR_Comparison_2024_vs_2025!A112=$B$3,WHR_Comparison_2024_vs_2025!P112,NA())),NA())</f>
        <v>-6.08E-2</v>
      </c>
      <c r="E196" s="2"/>
      <c r="F196" s="2"/>
      <c r="G196" s="2">
        <f>IFERROR(IF($B$3="All",IF($E$3="2024",WHR_Comparison_2024_vs_2025!C112,WHR_Comparison_2024_vs_2025!J112),IF(WHR_Comparison_2024_vs_2025!A112=$B$3,IF($E$3="2024",WHR_Comparison_2024_vs_2025!C112,WHR_Comparison_2024_vs_2025!J112),NA())),NA())</f>
        <v>0.77195256948471003</v>
      </c>
      <c r="H196" s="2">
        <f>IFERROR(IF($B$3="All",IF($E$3="2024",WHR_Comparison_2024_vs_2025!B112,WHR_Comparison_2024_vs_2025!I112),IF(WHR_Comparison_2024_vs_2025!A112=$B$3,IF($E$3="2024",WHR_Comparison_2024_vs_2025!B112,WHR_Comparison_2024_vs_2025!I112),NA())),NA())</f>
        <v>4.37169981002807</v>
      </c>
      <c r="I196" s="2">
        <f>IFERROR(IF($B$3="All",IF($E$3="2024",WHR_Comparison_2024_vs_2025!F112,WHR_Comparison_2024_vs_2025!M112),IF(WHR_Comparison_2024_vs_2025!A112=$B$3,IF($E$3="2024",WHR_Comparison_2024_vs_2025!F112,WHR_Comparison_2024_vs_2025!M112),NA())),NA())</f>
        <v>0.58744722604751498</v>
      </c>
      <c r="J196" s="33">
        <f>IFERROR(IF($B$3="All",IF($E$3="2024",WHR_Comparison_2024_vs_2025!B112,WHR_Comparison_2024_vs_2025!I112),IF(WHR_Comparison_2024_vs_2025!A112=$B$3,IF($E$3="2024",WHR_Comparison_2024_vs_2025!B112,WHR_Comparison_2024_vs_2025!I112),NA())),NA())</f>
        <v>4.37169981002807</v>
      </c>
    </row>
    <row r="197" spans="1:10" x14ac:dyDescent="0.3">
      <c r="A197" s="32" t="str">
        <f>IF($B$3="All",WHR_Comparison_2024_vs_2025!A113,IF(WHR_Comparison_2024_vs_2025!A113=$B$3,WHR_Comparison_2024_vs_2025!A113,NA()))</f>
        <v>Chad</v>
      </c>
      <c r="B197" s="2">
        <f>IFERROR(IF($B$3="All",WHR_Comparison_2024_vs_2025!B113,IF(WHR_Comparison_2024_vs_2025!A113=$B$3,WHR_Comparison_2024_vs_2025!B113,NA())),NA())</f>
        <v>4.3965997695922798</v>
      </c>
      <c r="C197" s="2">
        <f>IFERROR(IF($B$3="All",WHR_Comparison_2024_vs_2025!I113,IF(WHR_Comparison_2024_vs_2025!A113=$B$3,WHR_Comparison_2024_vs_2025!I113,NA())),NA())</f>
        <v>4.4713001251220703</v>
      </c>
      <c r="D197" s="2">
        <f>IFERROR(IF($B$3="All",WHR_Comparison_2024_vs_2025!P113,IF(WHR_Comparison_2024_vs_2025!A113=$B$3,WHR_Comparison_2024_vs_2025!P113,NA())),NA())</f>
        <v>7.4700000000000003E-2</v>
      </c>
      <c r="E197" s="2"/>
      <c r="F197" s="2"/>
      <c r="G197" s="2">
        <f>IFERROR(IF($B$3="All",IF($E$3="2024",WHR_Comparison_2024_vs_2025!C113,WHR_Comparison_2024_vs_2025!J113),IF(WHR_Comparison_2024_vs_2025!A113=$B$3,IF($E$3="2024",WHR_Comparison_2024_vs_2025!C113,WHR_Comparison_2024_vs_2025!J113),NA())),NA())</f>
        <v>0.60330259799957198</v>
      </c>
      <c r="H197" s="2">
        <f>IFERROR(IF($B$3="All",IF($E$3="2024",WHR_Comparison_2024_vs_2025!B113,WHR_Comparison_2024_vs_2025!I113),IF(WHR_Comparison_2024_vs_2025!A113=$B$3,IF($E$3="2024",WHR_Comparison_2024_vs_2025!B113,WHR_Comparison_2024_vs_2025!I113),NA())),NA())</f>
        <v>4.4713001251220703</v>
      </c>
      <c r="I197" s="2">
        <f>IFERROR(IF($B$3="All",IF($E$3="2024",WHR_Comparison_2024_vs_2025!F113,WHR_Comparison_2024_vs_2025!M113),IF(WHR_Comparison_2024_vs_2025!A113=$B$3,IF($E$3="2024",WHR_Comparison_2024_vs_2025!F113,WHR_Comparison_2024_vs_2025!M113),NA())),NA())</f>
        <v>0.41112658381461997</v>
      </c>
      <c r="J197" s="33">
        <f>IFERROR(IF($B$3="All",IF($E$3="2024",WHR_Comparison_2024_vs_2025!B113,WHR_Comparison_2024_vs_2025!I113),IF(WHR_Comparison_2024_vs_2025!A113=$B$3,IF($E$3="2024",WHR_Comparison_2024_vs_2025!B113,WHR_Comparison_2024_vs_2025!I113),NA())),NA())</f>
        <v>4.4713001251220703</v>
      </c>
    </row>
    <row r="198" spans="1:10" x14ac:dyDescent="0.3">
      <c r="A198" s="32" t="str">
        <f>IF($B$3="All",WHR_Comparison_2024_vs_2025!A114,IF(WHR_Comparison_2024_vs_2025!A114=$B$3,WHR_Comparison_2024_vs_2025!A114,NA()))</f>
        <v>Cambodia</v>
      </c>
      <c r="B198" s="2">
        <f>IFERROR(IF($B$3="All",WHR_Comparison_2024_vs_2025!B114,IF(WHR_Comparison_2024_vs_2025!A114=$B$3,WHR_Comparison_2024_vs_2025!B114,NA())),NA())</f>
        <v>4.3934998512268004</v>
      </c>
      <c r="C198" s="2">
        <f>IFERROR(IF($B$3="All",WHR_Comparison_2024_vs_2025!I114,IF(WHR_Comparison_2024_vs_2025!A114=$B$3,WHR_Comparison_2024_vs_2025!I114,NA())),NA())</f>
        <v>4.3407001495361301</v>
      </c>
      <c r="D198" s="2">
        <f>IFERROR(IF($B$3="All",WHR_Comparison_2024_vs_2025!P114,IF(WHR_Comparison_2024_vs_2025!A114=$B$3,WHR_Comparison_2024_vs_2025!P114,NA())),NA())</f>
        <v>-5.28E-2</v>
      </c>
      <c r="E198" s="2"/>
      <c r="F198" s="2"/>
      <c r="G198" s="2">
        <f>IFERROR(IF($B$3="All",IF($E$3="2024",WHR_Comparison_2024_vs_2025!C114,WHR_Comparison_2024_vs_2025!J114),IF(WHR_Comparison_2024_vs_2025!A114=$B$3,IF($E$3="2024",WHR_Comparison_2024_vs_2025!C114,WHR_Comparison_2024_vs_2025!J114),NA())),NA())</f>
        <v>1.0109834671020499</v>
      </c>
      <c r="H198" s="2">
        <f>IFERROR(IF($B$3="All",IF($E$3="2024",WHR_Comparison_2024_vs_2025!B114,WHR_Comparison_2024_vs_2025!I114),IF(WHR_Comparison_2024_vs_2025!A114=$B$3,IF($E$3="2024",WHR_Comparison_2024_vs_2025!B114,WHR_Comparison_2024_vs_2025!I114),NA())),NA())</f>
        <v>4.3407001495361301</v>
      </c>
      <c r="I198" s="2">
        <f>IFERROR(IF($B$3="All",IF($E$3="2024",WHR_Comparison_2024_vs_2025!F114,WHR_Comparison_2024_vs_2025!M114),IF(WHR_Comparison_2024_vs_2025!A114=$B$3,IF($E$3="2024",WHR_Comparison_2024_vs_2025!F114,WHR_Comparison_2024_vs_2025!M114),NA())),NA())</f>
        <v>0.863331079483032</v>
      </c>
      <c r="J198" s="33">
        <f>IFERROR(IF($B$3="All",IF($E$3="2024",WHR_Comparison_2024_vs_2025!B114,WHR_Comparison_2024_vs_2025!I114),IF(WHR_Comparison_2024_vs_2025!A114=$B$3,IF($E$3="2024",WHR_Comparison_2024_vs_2025!B114,WHR_Comparison_2024_vs_2025!I114),NA())),NA())</f>
        <v>4.3407001495361301</v>
      </c>
    </row>
    <row r="199" spans="1:10" x14ac:dyDescent="0.3">
      <c r="A199" s="32" t="str">
        <f>IF($B$3="All",WHR_Comparison_2024_vs_2025!A115,IF(WHR_Comparison_2024_vs_2025!A115=$B$3,WHR_Comparison_2024_vs_2025!A115,NA()))</f>
        <v>Benin</v>
      </c>
      <c r="B199" s="2">
        <f>IFERROR(IF($B$3="All",WHR_Comparison_2024_vs_2025!B115,IF(WHR_Comparison_2024_vs_2025!A115=$B$3,WHR_Comparison_2024_vs_2025!B115,NA())),NA())</f>
        <v>4.3737001419067303</v>
      </c>
      <c r="C199" s="2">
        <f>IFERROR(IF($B$3="All",WHR_Comparison_2024_vs_2025!I115,IF(WHR_Comparison_2024_vs_2025!A115=$B$3,WHR_Comparison_2024_vs_2025!I115,NA())),NA())</f>
        <v>4.3773999214172301</v>
      </c>
      <c r="D199" s="2">
        <f>IFERROR(IF($B$3="All",WHR_Comparison_2024_vs_2025!P115,IF(WHR_Comparison_2024_vs_2025!A115=$B$3,WHR_Comparison_2024_vs_2025!P115,NA())),NA())</f>
        <v>3.7000000000000002E-3</v>
      </c>
      <c r="E199" s="2"/>
      <c r="F199" s="2"/>
      <c r="G199" s="2">
        <f>IFERROR(IF($B$3="All",IF($E$3="2024",WHR_Comparison_2024_vs_2025!C115,WHR_Comparison_2024_vs_2025!J115),IF(WHR_Comparison_2024_vs_2025!A115=$B$3,IF($E$3="2024",WHR_Comparison_2024_vs_2025!C115,WHR_Comparison_2024_vs_2025!J115),NA())),NA())</f>
        <v>0.91357493400573697</v>
      </c>
      <c r="H199" s="2">
        <f>IFERROR(IF($B$3="All",IF($E$3="2024",WHR_Comparison_2024_vs_2025!B115,WHR_Comparison_2024_vs_2025!I115),IF(WHR_Comparison_2024_vs_2025!A115=$B$3,IF($E$3="2024",WHR_Comparison_2024_vs_2025!B115,WHR_Comparison_2024_vs_2025!I115),NA())),NA())</f>
        <v>4.3773999214172301</v>
      </c>
      <c r="I199" s="2">
        <f>IFERROR(IF($B$3="All",IF($E$3="2024",WHR_Comparison_2024_vs_2025!F115,WHR_Comparison_2024_vs_2025!M115),IF(WHR_Comparison_2024_vs_2025!A115=$B$3,IF($E$3="2024",WHR_Comparison_2024_vs_2025!F115,WHR_Comparison_2024_vs_2025!M115),NA())),NA())</f>
        <v>0.56680840253829901</v>
      </c>
      <c r="J199" s="33">
        <f>IFERROR(IF($B$3="All",IF($E$3="2024",WHR_Comparison_2024_vs_2025!B115,WHR_Comparison_2024_vs_2025!I115),IF(WHR_Comparison_2024_vs_2025!A115=$B$3,IF($E$3="2024",WHR_Comparison_2024_vs_2025!B115,WHR_Comparison_2024_vs_2025!I115),NA())),NA())</f>
        <v>4.3773999214172301</v>
      </c>
    </row>
    <row r="200" spans="1:10" x14ac:dyDescent="0.3">
      <c r="A200" s="32" t="str">
        <f>IF($B$3="All",WHR_Comparison_2024_vs_2025!A116,IF(WHR_Comparison_2024_vs_2025!A116=$B$3,WHR_Comparison_2024_vs_2025!A116,NA()))</f>
        <v>Myanmar</v>
      </c>
      <c r="B200" s="2">
        <f>IFERROR(IF($B$3="All",WHR_Comparison_2024_vs_2025!B116,IF(WHR_Comparison_2024_vs_2025!A116=$B$3,WHR_Comparison_2024_vs_2025!B116,NA())),NA())</f>
        <v>4.3724999427795401</v>
      </c>
      <c r="C200" s="2">
        <f>IFERROR(IF($B$3="All",WHR_Comparison_2024_vs_2025!I116,IF(WHR_Comparison_2024_vs_2025!A116=$B$3,WHR_Comparison_2024_vs_2025!I116,NA())),NA())</f>
        <v>4.3544998168945304</v>
      </c>
      <c r="D200" s="2">
        <f>IFERROR(IF($B$3="All",WHR_Comparison_2024_vs_2025!P116,IF(WHR_Comparison_2024_vs_2025!A116=$B$3,WHR_Comparison_2024_vs_2025!P116,NA())),NA())</f>
        <v>-1.7999999999999999E-2</v>
      </c>
      <c r="E200" s="2"/>
      <c r="F200" s="2"/>
      <c r="G200" s="2">
        <f>IFERROR(IF($B$3="All",IF($E$3="2024",WHR_Comparison_2024_vs_2025!C116,WHR_Comparison_2024_vs_2025!J116),IF(WHR_Comparison_2024_vs_2025!A116=$B$3,IF($E$3="2024",WHR_Comparison_2024_vs_2025!C116,WHR_Comparison_2024_vs_2025!J116),NA())),NA())</f>
        <v>0.97761642932891801</v>
      </c>
      <c r="H200" s="2">
        <f>IFERROR(IF($B$3="All",IF($E$3="2024",WHR_Comparison_2024_vs_2025!B116,WHR_Comparison_2024_vs_2025!I116),IF(WHR_Comparison_2024_vs_2025!A116=$B$3,IF($E$3="2024",WHR_Comparison_2024_vs_2025!B116,WHR_Comparison_2024_vs_2025!I116),NA())),NA())</f>
        <v>4.3544998168945304</v>
      </c>
      <c r="I200" s="2">
        <f>IFERROR(IF($B$3="All",IF($E$3="2024",WHR_Comparison_2024_vs_2025!F116,WHR_Comparison_2024_vs_2025!M116),IF(WHR_Comparison_2024_vs_2025!A116=$B$3,IF($E$3="2024",WHR_Comparison_2024_vs_2025!F116,WHR_Comparison_2024_vs_2025!M116),NA())),NA())</f>
        <v>0.45041283965110701</v>
      </c>
      <c r="J200" s="33">
        <f>IFERROR(IF($B$3="All",IF($E$3="2024",WHR_Comparison_2024_vs_2025!B116,WHR_Comparison_2024_vs_2025!I116),IF(WHR_Comparison_2024_vs_2025!A116=$B$3,IF($E$3="2024",WHR_Comparison_2024_vs_2025!B116,WHR_Comparison_2024_vs_2025!I116),NA())),NA())</f>
        <v>4.3544998168945304</v>
      </c>
    </row>
    <row r="201" spans="1:10" x14ac:dyDescent="0.3">
      <c r="A201" s="32" t="str">
        <f>IF($B$3="All",WHR_Comparison_2024_vs_2025!A117,IF(WHR_Comparison_2024_vs_2025!A117=$B$3,WHR_Comparison_2024_vs_2025!A117,NA()))</f>
        <v>Bangladesh</v>
      </c>
      <c r="B201" s="2">
        <f>IFERROR(IF($B$3="All",WHR_Comparison_2024_vs_2025!B117,IF(WHR_Comparison_2024_vs_2025!A117=$B$3,WHR_Comparison_2024_vs_2025!B117,NA())),NA())</f>
        <v>4.28210020065307</v>
      </c>
      <c r="C201" s="2">
        <f>IFERROR(IF($B$3="All",WHR_Comparison_2024_vs_2025!I117,IF(WHR_Comparison_2024_vs_2025!A117=$B$3,WHR_Comparison_2024_vs_2025!I117,NA())),NA())</f>
        <v>3.8859000205993599</v>
      </c>
      <c r="D201" s="2">
        <f>IFERROR(IF($B$3="All",WHR_Comparison_2024_vs_2025!P117,IF(WHR_Comparison_2024_vs_2025!A117=$B$3,WHR_Comparison_2024_vs_2025!P117,NA())),NA())</f>
        <v>-0.3962</v>
      </c>
      <c r="E201" s="2"/>
      <c r="F201" s="2"/>
      <c r="G201" s="2">
        <f>IFERROR(IF($B$3="All",IF($E$3="2024",WHR_Comparison_2024_vs_2025!C117,WHR_Comparison_2024_vs_2025!J117),IF(WHR_Comparison_2024_vs_2025!A117=$B$3,IF($E$3="2024",WHR_Comparison_2024_vs_2025!C117,WHR_Comparison_2024_vs_2025!J117),NA())),NA())</f>
        <v>1.1216069459915099</v>
      </c>
      <c r="H201" s="2">
        <f>IFERROR(IF($B$3="All",IF($E$3="2024",WHR_Comparison_2024_vs_2025!B117,WHR_Comparison_2024_vs_2025!I117),IF(WHR_Comparison_2024_vs_2025!A117=$B$3,IF($E$3="2024",WHR_Comparison_2024_vs_2025!B117,WHR_Comparison_2024_vs_2025!I117),NA())),NA())</f>
        <v>3.8859000205993599</v>
      </c>
      <c r="I201" s="2">
        <f>IFERROR(IF($B$3="All",IF($E$3="2024",WHR_Comparison_2024_vs_2025!F117,WHR_Comparison_2024_vs_2025!M117),IF(WHR_Comparison_2024_vs_2025!A117=$B$3,IF($E$3="2024",WHR_Comparison_2024_vs_2025!F117,WHR_Comparison_2024_vs_2025!M117),NA())),NA())</f>
        <v>0.77485388517379705</v>
      </c>
      <c r="J201" s="33">
        <f>IFERROR(IF($B$3="All",IF($E$3="2024",WHR_Comparison_2024_vs_2025!B117,WHR_Comparison_2024_vs_2025!I117),IF(WHR_Comparison_2024_vs_2025!A117=$B$3,IF($E$3="2024",WHR_Comparison_2024_vs_2025!B117,WHR_Comparison_2024_vs_2025!I117),NA())),NA())</f>
        <v>3.8859000205993599</v>
      </c>
    </row>
    <row r="202" spans="1:10" x14ac:dyDescent="0.3">
      <c r="A202" s="32" t="str">
        <f>IF($B$3="All",WHR_Comparison_2024_vs_2025!A118,IF(WHR_Comparison_2024_vs_2025!A118=$B$3,WHR_Comparison_2024_vs_2025!A118,NA()))</f>
        <v>Gambia</v>
      </c>
      <c r="B202" s="2">
        <f>IFERROR(IF($B$3="All",WHR_Comparison_2024_vs_2025!B118,IF(WHR_Comparison_2024_vs_2025!A118=$B$3,WHR_Comparison_2024_vs_2025!B118,NA())),NA())</f>
        <v>4.2793998718261701</v>
      </c>
      <c r="C202" s="2">
        <f>IFERROR(IF($B$3="All",WHR_Comparison_2024_vs_2025!I118,IF(WHR_Comparison_2024_vs_2025!A118=$B$3,WHR_Comparison_2024_vs_2025!I118,NA())),NA())</f>
        <v>4.4848999977111799</v>
      </c>
      <c r="D202" s="2">
        <f>IFERROR(IF($B$3="All",WHR_Comparison_2024_vs_2025!P118,IF(WHR_Comparison_2024_vs_2025!A118=$B$3,WHR_Comparison_2024_vs_2025!P118,NA())),NA())</f>
        <v>0.20549999999999999</v>
      </c>
      <c r="E202" s="2"/>
      <c r="F202" s="2"/>
      <c r="G202" s="2">
        <f>IFERROR(IF($B$3="All",IF($E$3="2024",WHR_Comparison_2024_vs_2025!C118,WHR_Comparison_2024_vs_2025!J118),IF(WHR_Comparison_2024_vs_2025!A118=$B$3,IF($E$3="2024",WHR_Comparison_2024_vs_2025!C118,WHR_Comparison_2024_vs_2025!J118),NA())),NA())</f>
        <v>0.75029802322387695</v>
      </c>
      <c r="H202" s="2">
        <f>IFERROR(IF($B$3="All",IF($E$3="2024",WHR_Comparison_2024_vs_2025!B118,WHR_Comparison_2024_vs_2025!I118),IF(WHR_Comparison_2024_vs_2025!A118=$B$3,IF($E$3="2024",WHR_Comparison_2024_vs_2025!B118,WHR_Comparison_2024_vs_2025!I118),NA())),NA())</f>
        <v>4.4848999977111799</v>
      </c>
      <c r="I202" s="2">
        <f>IFERROR(IF($B$3="All",IF($E$3="2024",WHR_Comparison_2024_vs_2025!F118,WHR_Comparison_2024_vs_2025!M118),IF(WHR_Comparison_2024_vs_2025!A118=$B$3,IF($E$3="2024",WHR_Comparison_2024_vs_2025!F118,WHR_Comparison_2024_vs_2025!M118),NA())),NA())</f>
        <v>0.45858886837959201</v>
      </c>
      <c r="J202" s="33">
        <f>IFERROR(IF($B$3="All",IF($E$3="2024",WHR_Comparison_2024_vs_2025!B118,WHR_Comparison_2024_vs_2025!I118),IF(WHR_Comparison_2024_vs_2025!A118=$B$3,IF($E$3="2024",WHR_Comparison_2024_vs_2025!B118,WHR_Comparison_2024_vs_2025!I118),NA())),NA())</f>
        <v>4.4848999977111799</v>
      </c>
    </row>
    <row r="203" spans="1:10" x14ac:dyDescent="0.3">
      <c r="A203" s="32" t="str">
        <f>IF($B$3="All",WHR_Comparison_2024_vs_2025!A119,IF(WHR_Comparison_2024_vs_2025!A119=$B$3,WHR_Comparison_2024_vs_2025!A119,NA()))</f>
        <v>Mali</v>
      </c>
      <c r="B203" s="2">
        <f>IFERROR(IF($B$3="All",WHR_Comparison_2024_vs_2025!B119,IF(WHR_Comparison_2024_vs_2025!A119=$B$3,WHR_Comparison_2024_vs_2025!B119,NA())),NA())</f>
        <v>4.1978001594543404</v>
      </c>
      <c r="C203" s="2">
        <f>IFERROR(IF($B$3="All",WHR_Comparison_2024_vs_2025!I119,IF(WHR_Comparison_2024_vs_2025!A119=$B$3,WHR_Comparison_2024_vs_2025!I119,NA())),NA())</f>
        <v>4.2319998741149902</v>
      </c>
      <c r="D203" s="2">
        <f>IFERROR(IF($B$3="All",WHR_Comparison_2024_vs_2025!P119,IF(WHR_Comparison_2024_vs_2025!A119=$B$3,WHR_Comparison_2024_vs_2025!P119,NA())),NA())</f>
        <v>3.4200000000000001E-2</v>
      </c>
      <c r="E203" s="2"/>
      <c r="F203" s="2"/>
      <c r="G203" s="2">
        <f>IFERROR(IF($B$3="All",IF($E$3="2024",WHR_Comparison_2024_vs_2025!C119,WHR_Comparison_2024_vs_2025!J119),IF(WHR_Comparison_2024_vs_2025!A119=$B$3,IF($E$3="2024",WHR_Comparison_2024_vs_2025!C119,WHR_Comparison_2024_vs_2025!J119),NA())),NA())</f>
        <v>0.74740672111511197</v>
      </c>
      <c r="H203" s="2">
        <f>IFERROR(IF($B$3="All",IF($E$3="2024",WHR_Comparison_2024_vs_2025!B119,WHR_Comparison_2024_vs_2025!I119),IF(WHR_Comparison_2024_vs_2025!A119=$B$3,IF($E$3="2024",WHR_Comparison_2024_vs_2025!B119,WHR_Comparison_2024_vs_2025!I119),NA())),NA())</f>
        <v>4.2319998741149902</v>
      </c>
      <c r="I203" s="2">
        <f>IFERROR(IF($B$3="All",IF($E$3="2024",WHR_Comparison_2024_vs_2025!F119,WHR_Comparison_2024_vs_2025!M119),IF(WHR_Comparison_2024_vs_2025!A119=$B$3,IF($E$3="2024",WHR_Comparison_2024_vs_2025!F119,WHR_Comparison_2024_vs_2025!M119),NA())),NA())</f>
        <v>0.58569979667663497</v>
      </c>
      <c r="J203" s="33">
        <f>IFERROR(IF($B$3="All",IF($E$3="2024",WHR_Comparison_2024_vs_2025!B119,WHR_Comparison_2024_vs_2025!I119),IF(WHR_Comparison_2024_vs_2025!A119=$B$3,IF($E$3="2024",WHR_Comparison_2024_vs_2025!B119,WHR_Comparison_2024_vs_2025!I119),NA())),NA())</f>
        <v>4.2319998741149902</v>
      </c>
    </row>
    <row r="204" spans="1:10" x14ac:dyDescent="0.3">
      <c r="A204" s="32" t="str">
        <f>IF($B$3="All",WHR_Comparison_2024_vs_2025!A120,IF(WHR_Comparison_2024_vs_2025!A120=$B$3,WHR_Comparison_2024_vs_2025!A120,NA()))</f>
        <v>Egypt</v>
      </c>
      <c r="B204" s="2">
        <f>IFERROR(IF($B$3="All",WHR_Comparison_2024_vs_2025!B120,IF(WHR_Comparison_2024_vs_2025!A120=$B$3,WHR_Comparison_2024_vs_2025!B120,NA())),NA())</f>
        <v>4.1704998016357404</v>
      </c>
      <c r="C204" s="2">
        <f>IFERROR(IF($B$3="All",WHR_Comparison_2024_vs_2025!I120,IF(WHR_Comparison_2024_vs_2025!A120=$B$3,WHR_Comparison_2024_vs_2025!I120,NA())),NA())</f>
        <v>3.9765999317169101</v>
      </c>
      <c r="D204" s="2">
        <f>IFERROR(IF($B$3="All",WHR_Comparison_2024_vs_2025!P120,IF(WHR_Comparison_2024_vs_2025!A120=$B$3,WHR_Comparison_2024_vs_2025!P120,NA())),NA())</f>
        <v>-0.19389999999999999</v>
      </c>
      <c r="E204" s="2"/>
      <c r="F204" s="2"/>
      <c r="G204" s="2">
        <f>IFERROR(IF($B$3="All",IF($E$3="2024",WHR_Comparison_2024_vs_2025!C120,WHR_Comparison_2024_vs_2025!J120),IF(WHR_Comparison_2024_vs_2025!A120=$B$3,IF($E$3="2024",WHR_Comparison_2024_vs_2025!C120,WHR_Comparison_2024_vs_2025!J120),NA())),NA())</f>
        <v>1.3699750900268499</v>
      </c>
      <c r="H204" s="2">
        <f>IFERROR(IF($B$3="All",IF($E$3="2024",WHR_Comparison_2024_vs_2025!B120,WHR_Comparison_2024_vs_2025!I120),IF(WHR_Comparison_2024_vs_2025!A120=$B$3,IF($E$3="2024",WHR_Comparison_2024_vs_2025!B120,WHR_Comparison_2024_vs_2025!I120),NA())),NA())</f>
        <v>3.9765999317169101</v>
      </c>
      <c r="I204" s="2">
        <f>IFERROR(IF($B$3="All",IF($E$3="2024",WHR_Comparison_2024_vs_2025!F120,WHR_Comparison_2024_vs_2025!M120),IF(WHR_Comparison_2024_vs_2025!A120=$B$3,IF($E$3="2024",WHR_Comparison_2024_vs_2025!F120,WHR_Comparison_2024_vs_2025!M120),NA())),NA())</f>
        <v>0.48970222473144498</v>
      </c>
      <c r="J204" s="33">
        <f>IFERROR(IF($B$3="All",IF($E$3="2024",WHR_Comparison_2024_vs_2025!B120,WHR_Comparison_2024_vs_2025!I120),IF(WHR_Comparison_2024_vs_2025!A120=$B$3,IF($E$3="2024",WHR_Comparison_2024_vs_2025!B120,WHR_Comparison_2024_vs_2025!I120),NA())),NA())</f>
        <v>3.9765999317169101</v>
      </c>
    </row>
    <row r="205" spans="1:10" x14ac:dyDescent="0.3">
      <c r="A205" s="32" t="str">
        <f>IF($B$3="All",WHR_Comparison_2024_vs_2025!A121,IF(WHR_Comparison_2024_vs_2025!A121=$B$3,WHR_Comparison_2024_vs_2025!A121,NA()))</f>
        <v>Togo</v>
      </c>
      <c r="B205" s="2">
        <f>IFERROR(IF($B$3="All",WHR_Comparison_2024_vs_2025!B121,IF(WHR_Comparison_2024_vs_2025!A121=$B$3,WHR_Comparison_2024_vs_2025!B121,NA())),NA())</f>
        <v>4.1374001502990696</v>
      </c>
      <c r="C205" s="2">
        <f>IFERROR(IF($B$3="All",WHR_Comparison_2024_vs_2025!I121,IF(WHR_Comparison_2024_vs_2025!A121=$B$3,WHR_Comparison_2024_vs_2025!I121,NA())),NA())</f>
        <v>4.2140998840331996</v>
      </c>
      <c r="D205" s="2">
        <f>IFERROR(IF($B$3="All",WHR_Comparison_2024_vs_2025!P121,IF(WHR_Comparison_2024_vs_2025!A121=$B$3,WHR_Comparison_2024_vs_2025!P121,NA())),NA())</f>
        <v>7.6700000000000004E-2</v>
      </c>
      <c r="E205" s="2"/>
      <c r="F205" s="2"/>
      <c r="G205" s="2">
        <f>IFERROR(IF($B$3="All",IF($E$3="2024",WHR_Comparison_2024_vs_2025!C121,WHR_Comparison_2024_vs_2025!J121),IF(WHR_Comparison_2024_vs_2025!A121=$B$3,IF($E$3="2024",WHR_Comparison_2024_vs_2025!C121,WHR_Comparison_2024_vs_2025!J121),NA())),NA())</f>
        <v>0.75849395990371704</v>
      </c>
      <c r="H205" s="2">
        <f>IFERROR(IF($B$3="All",IF($E$3="2024",WHR_Comparison_2024_vs_2025!B121,WHR_Comparison_2024_vs_2025!I121),IF(WHR_Comparison_2024_vs_2025!A121=$B$3,IF($E$3="2024",WHR_Comparison_2024_vs_2025!B121,WHR_Comparison_2024_vs_2025!I121),NA())),NA())</f>
        <v>4.2140998840331996</v>
      </c>
      <c r="I205" s="2">
        <f>IFERROR(IF($B$3="All",IF($E$3="2024",WHR_Comparison_2024_vs_2025!F121,WHR_Comparison_2024_vs_2025!M121),IF(WHR_Comparison_2024_vs_2025!A121=$B$3,IF($E$3="2024",WHR_Comparison_2024_vs_2025!F121,WHR_Comparison_2024_vs_2025!M121),NA())),NA())</f>
        <v>0.452633947134017</v>
      </c>
      <c r="J205" s="33">
        <f>IFERROR(IF($B$3="All",IF($E$3="2024",WHR_Comparison_2024_vs_2025!B121,WHR_Comparison_2024_vs_2025!I121),IF(WHR_Comparison_2024_vs_2025!A121=$B$3,IF($E$3="2024",WHR_Comparison_2024_vs_2025!B121,WHR_Comparison_2024_vs_2025!I121),NA())),NA())</f>
        <v>4.2140998840331996</v>
      </c>
    </row>
    <row r="206" spans="1:10" x14ac:dyDescent="0.3">
      <c r="A206" s="32" t="str">
        <f>IF($B$3="All",WHR_Comparison_2024_vs_2025!A122,IF(WHR_Comparison_2024_vs_2025!A122=$B$3,WHR_Comparison_2024_vs_2025!A122,NA()))</f>
        <v>Jordan</v>
      </c>
      <c r="B206" s="2">
        <f>IFERROR(IF($B$3="All",WHR_Comparison_2024_vs_2025!B122,IF(WHR_Comparison_2024_vs_2025!A122=$B$3,WHR_Comparison_2024_vs_2025!B122,NA())),NA())</f>
        <v>4.1198000907897896</v>
      </c>
      <c r="C206" s="2">
        <f>IFERROR(IF($B$3="All",WHR_Comparison_2024_vs_2025!I122,IF(WHR_Comparison_2024_vs_2025!A122=$B$3,WHR_Comparison_2024_vs_2025!I122,NA())),NA())</f>
        <v>4.1858000755309996</v>
      </c>
      <c r="D206" s="2">
        <f>IFERROR(IF($B$3="All",WHR_Comparison_2024_vs_2025!P122,IF(WHR_Comparison_2024_vs_2025!A122=$B$3,WHR_Comparison_2024_vs_2025!P122,NA())),NA())</f>
        <v>6.6000000000000003E-2</v>
      </c>
      <c r="E206" s="2"/>
      <c r="F206" s="2"/>
      <c r="G206" s="2">
        <f>IFERROR(IF($B$3="All",IF($E$3="2024",WHR_Comparison_2024_vs_2025!C122,WHR_Comparison_2024_vs_2025!J122),IF(WHR_Comparison_2024_vs_2025!A122=$B$3,IF($E$3="2024",WHR_Comparison_2024_vs_2025!C122,WHR_Comparison_2024_vs_2025!J122),NA())),NA())</f>
        <v>1.2622883319854701</v>
      </c>
      <c r="H206" s="2">
        <f>IFERROR(IF($B$3="All",IF($E$3="2024",WHR_Comparison_2024_vs_2025!B122,WHR_Comparison_2024_vs_2025!I122),IF(WHR_Comparison_2024_vs_2025!A122=$B$3,IF($E$3="2024",WHR_Comparison_2024_vs_2025!B122,WHR_Comparison_2024_vs_2025!I122),NA())),NA())</f>
        <v>4.1858000755309996</v>
      </c>
      <c r="I206" s="2">
        <f>IFERROR(IF($B$3="All",IF($E$3="2024",WHR_Comparison_2024_vs_2025!F122,WHR_Comparison_2024_vs_2025!M122),IF(WHR_Comparison_2024_vs_2025!A122=$B$3,IF($E$3="2024",WHR_Comparison_2024_vs_2025!F122,WHR_Comparison_2024_vs_2025!M122),NA())),NA())</f>
        <v>0.593222856521606</v>
      </c>
      <c r="J206" s="33">
        <f>IFERROR(IF($B$3="All",IF($E$3="2024",WHR_Comparison_2024_vs_2025!B122,WHR_Comparison_2024_vs_2025!I122),IF(WHR_Comparison_2024_vs_2025!A122=$B$3,IF($E$3="2024",WHR_Comparison_2024_vs_2025!B122,WHR_Comparison_2024_vs_2025!I122),NA())),NA())</f>
        <v>4.1858000755309996</v>
      </c>
    </row>
    <row r="207" spans="1:10" x14ac:dyDescent="0.3">
      <c r="A207" s="32" t="str">
        <f>IF($B$3="All",WHR_Comparison_2024_vs_2025!A123,IF(WHR_Comparison_2024_vs_2025!A123=$B$3,WHR_Comparison_2024_vs_2025!A123,NA()))</f>
        <v>Ethiopia</v>
      </c>
      <c r="B207" s="2">
        <f>IFERROR(IF($B$3="All",WHR_Comparison_2024_vs_2025!B123,IF(WHR_Comparison_2024_vs_2025!A123=$B$3,WHR_Comparison_2024_vs_2025!B123,NA())),NA())</f>
        <v>4.0906000137329102</v>
      </c>
      <c r="C207" s="2">
        <f>IFERROR(IF($B$3="All",WHR_Comparison_2024_vs_2025!I123,IF(WHR_Comparison_2024_vs_2025!A123=$B$3,WHR_Comparison_2024_vs_2025!I123,NA())),NA())</f>
        <v>3.86089992523193</v>
      </c>
      <c r="D207" s="2">
        <f>IFERROR(IF($B$3="All",WHR_Comparison_2024_vs_2025!P123,IF(WHR_Comparison_2024_vs_2025!A123=$B$3,WHR_Comparison_2024_vs_2025!P123,NA())),NA())</f>
        <v>-0.22969999999999999</v>
      </c>
      <c r="E207" s="2"/>
      <c r="F207" s="2"/>
      <c r="G207" s="2">
        <f>IFERROR(IF($B$3="All",IF($E$3="2024",WHR_Comparison_2024_vs_2025!C123,WHR_Comparison_2024_vs_2025!J123),IF(WHR_Comparison_2024_vs_2025!A123=$B$3,IF($E$3="2024",WHR_Comparison_2024_vs_2025!C123,WHR_Comparison_2024_vs_2025!J123),NA())),NA())</f>
        <v>0.79156035184860196</v>
      </c>
      <c r="H207" s="2">
        <f>IFERROR(IF($B$3="All",IF($E$3="2024",WHR_Comparison_2024_vs_2025!B123,WHR_Comparison_2024_vs_2025!I123),IF(WHR_Comparison_2024_vs_2025!A123=$B$3,IF($E$3="2024",WHR_Comparison_2024_vs_2025!B123,WHR_Comparison_2024_vs_2025!I123),NA())),NA())</f>
        <v>3.86089992523193</v>
      </c>
      <c r="I207" s="2">
        <f>IFERROR(IF($B$3="All",IF($E$3="2024",WHR_Comparison_2024_vs_2025!F123,WHR_Comparison_2024_vs_2025!M123),IF(WHR_Comparison_2024_vs_2025!A123=$B$3,IF($E$3="2024",WHR_Comparison_2024_vs_2025!F123,WHR_Comparison_2024_vs_2025!M123),NA())),NA())</f>
        <v>0.44089117646217302</v>
      </c>
      <c r="J207" s="33">
        <f>IFERROR(IF($B$3="All",IF($E$3="2024",WHR_Comparison_2024_vs_2025!B123,WHR_Comparison_2024_vs_2025!I123),IF(WHR_Comparison_2024_vs_2025!A123=$B$3,IF($E$3="2024",WHR_Comparison_2024_vs_2025!B123,WHR_Comparison_2024_vs_2025!I123),NA())),NA())</f>
        <v>3.86089992523193</v>
      </c>
    </row>
    <row r="208" spans="1:10" x14ac:dyDescent="0.3">
      <c r="A208" s="32" t="str">
        <f>IF($B$3="All",WHR_Comparison_2024_vs_2025!A124,IF(WHR_Comparison_2024_vs_2025!A124=$B$3,WHR_Comparison_2024_vs_2025!A124,NA()))</f>
        <v>Liberia</v>
      </c>
      <c r="B208" s="2">
        <f>IFERROR(IF($B$3="All",WHR_Comparison_2024_vs_2025!B124,IF(WHR_Comparison_2024_vs_2025!A124=$B$3,WHR_Comparison_2024_vs_2025!B124,NA())),NA())</f>
        <v>4.0423002243041903</v>
      </c>
      <c r="C208" s="2">
        <f>IFERROR(IF($B$3="All",WHR_Comparison_2024_vs_2025!I124,IF(WHR_Comparison_2024_vs_2025!A124=$B$3,WHR_Comparison_2024_vs_2025!I124,NA())),NA())</f>
        <v>4.2685999870300204</v>
      </c>
      <c r="D208" s="2">
        <f>IFERROR(IF($B$3="All",WHR_Comparison_2024_vs_2025!P124,IF(WHR_Comparison_2024_vs_2025!A124=$B$3,WHR_Comparison_2024_vs_2025!P124,NA())),NA())</f>
        <v>0.2263</v>
      </c>
      <c r="E208" s="2"/>
      <c r="F208" s="2"/>
      <c r="G208" s="2">
        <f>IFERROR(IF($B$3="All",IF($E$3="2024",WHR_Comparison_2024_vs_2025!C124,WHR_Comparison_2024_vs_2025!J124),IF(WHR_Comparison_2024_vs_2025!A124=$B$3,IF($E$3="2024",WHR_Comparison_2024_vs_2025!C124,WHR_Comparison_2024_vs_2025!J124),NA())),NA())</f>
        <v>0.61877793073654097</v>
      </c>
      <c r="H208" s="2">
        <f>IFERROR(IF($B$3="All",IF($E$3="2024",WHR_Comparison_2024_vs_2025!B124,WHR_Comparison_2024_vs_2025!I124),IF(WHR_Comparison_2024_vs_2025!A124=$B$3,IF($E$3="2024",WHR_Comparison_2024_vs_2025!B124,WHR_Comparison_2024_vs_2025!I124),NA())),NA())</f>
        <v>4.2685999870300204</v>
      </c>
      <c r="I208" s="2">
        <f>IFERROR(IF($B$3="All",IF($E$3="2024",WHR_Comparison_2024_vs_2025!F124,WHR_Comparison_2024_vs_2025!M124),IF(WHR_Comparison_2024_vs_2025!A124=$B$3,IF($E$3="2024",WHR_Comparison_2024_vs_2025!F124,WHR_Comparison_2024_vs_2025!M124),NA())),NA())</f>
        <v>0.54583978652954102</v>
      </c>
      <c r="J208" s="33">
        <f>IFERROR(IF($B$3="All",IF($E$3="2024",WHR_Comparison_2024_vs_2025!B124,WHR_Comparison_2024_vs_2025!I124),IF(WHR_Comparison_2024_vs_2025!A124=$B$3,IF($E$3="2024",WHR_Comparison_2024_vs_2025!B124,WHR_Comparison_2024_vs_2025!I124),NA())),NA())</f>
        <v>4.2685999870300204</v>
      </c>
    </row>
    <row r="209" spans="1:10" x14ac:dyDescent="0.3">
      <c r="A209" s="32" t="str">
        <f>IF($B$3="All",WHR_Comparison_2024_vs_2025!A125,IF(WHR_Comparison_2024_vs_2025!A125=$B$3,WHR_Comparison_2024_vs_2025!A125,NA()))</f>
        <v>India</v>
      </c>
      <c r="B209" s="2">
        <f>IFERROR(IF($B$3="All",WHR_Comparison_2024_vs_2025!B125,IF(WHR_Comparison_2024_vs_2025!A125=$B$3,WHR_Comparison_2024_vs_2025!B125,NA())),NA())</f>
        <v>4.0357999801635698</v>
      </c>
      <c r="C209" s="2">
        <f>IFERROR(IF($B$3="All",WHR_Comparison_2024_vs_2025!I125,IF(WHR_Comparison_2024_vs_2025!A125=$B$3,WHR_Comparison_2024_vs_2025!I125,NA())),NA())</f>
        <v>4.0541000366210902</v>
      </c>
      <c r="D209" s="2">
        <f>IFERROR(IF($B$3="All",WHR_Comparison_2024_vs_2025!P125,IF(WHR_Comparison_2024_vs_2025!A125=$B$3,WHR_Comparison_2024_vs_2025!P125,NA())),NA())</f>
        <v>1.83E-2</v>
      </c>
      <c r="E209" s="2"/>
      <c r="F209" s="2"/>
      <c r="G209" s="2">
        <f>IFERROR(IF($B$3="All",IF($E$3="2024",WHR_Comparison_2024_vs_2025!C125,WHR_Comparison_2024_vs_2025!J125),IF(WHR_Comparison_2024_vs_2025!A125=$B$3,IF($E$3="2024",WHR_Comparison_2024_vs_2025!C125,WHR_Comparison_2024_vs_2025!J125),NA())),NA())</f>
        <v>1.1661732196807799</v>
      </c>
      <c r="H209" s="2">
        <f>IFERROR(IF($B$3="All",IF($E$3="2024",WHR_Comparison_2024_vs_2025!B125,WHR_Comparison_2024_vs_2025!I125),IF(WHR_Comparison_2024_vs_2025!A125=$B$3,IF($E$3="2024",WHR_Comparison_2024_vs_2025!B125,WHR_Comparison_2024_vs_2025!I125),NA())),NA())</f>
        <v>4.0541000366210902</v>
      </c>
      <c r="I209" s="2">
        <f>IFERROR(IF($B$3="All",IF($E$3="2024",WHR_Comparison_2024_vs_2025!F125,WHR_Comparison_2024_vs_2025!M125),IF(WHR_Comparison_2024_vs_2025!A125=$B$3,IF($E$3="2024",WHR_Comparison_2024_vs_2025!F125,WHR_Comparison_2024_vs_2025!M125),NA())),NA())</f>
        <v>0.76659846305847101</v>
      </c>
      <c r="J209" s="33">
        <f>IFERROR(IF($B$3="All",IF($E$3="2024",WHR_Comparison_2024_vs_2025!B125,WHR_Comparison_2024_vs_2025!I125),IF(WHR_Comparison_2024_vs_2025!A125=$B$3,IF($E$3="2024",WHR_Comparison_2024_vs_2025!B125,WHR_Comparison_2024_vs_2025!I125),NA())),NA())</f>
        <v>4.0541000366210902</v>
      </c>
    </row>
    <row r="210" spans="1:10" x14ac:dyDescent="0.3">
      <c r="A210" s="32" t="str">
        <f>IF($B$3="All",WHR_Comparison_2024_vs_2025!A126,IF(WHR_Comparison_2024_vs_2025!A126=$B$3,WHR_Comparison_2024_vs_2025!A126,NA()))</f>
        <v>Madagascar</v>
      </c>
      <c r="B210" s="2">
        <f>IFERROR(IF($B$3="All",WHR_Comparison_2024_vs_2025!B126,IF(WHR_Comparison_2024_vs_2025!A126=$B$3,WHR_Comparison_2024_vs_2025!B126,NA())),NA())</f>
        <v>4.0191001892089799</v>
      </c>
      <c r="C210" s="2">
        <f>IFERROR(IF($B$3="All",WHR_Comparison_2024_vs_2025!I126,IF(WHR_Comparison_2024_vs_2025!A126=$B$3,WHR_Comparison_2024_vs_2025!I126,NA())),NA())</f>
        <v>4.2279000282287598</v>
      </c>
      <c r="D210" s="2">
        <f>IFERROR(IF($B$3="All",WHR_Comparison_2024_vs_2025!P126,IF(WHR_Comparison_2024_vs_2025!A126=$B$3,WHR_Comparison_2024_vs_2025!P126,NA())),NA())</f>
        <v>0.20880000000000001</v>
      </c>
      <c r="E210" s="2"/>
      <c r="F210" s="2"/>
      <c r="G210" s="2">
        <f>IFERROR(IF($B$3="All",IF($E$3="2024",WHR_Comparison_2024_vs_2025!C126,WHR_Comparison_2024_vs_2025!J126),IF(WHR_Comparison_2024_vs_2025!A126=$B$3,IF($E$3="2024",WHR_Comparison_2024_vs_2025!C126,WHR_Comparison_2024_vs_2025!J126),NA())),NA())</f>
        <v>0.62790691852569502</v>
      </c>
      <c r="H210" s="2">
        <f>IFERROR(IF($B$3="All",IF($E$3="2024",WHR_Comparison_2024_vs_2025!B126,WHR_Comparison_2024_vs_2025!I126),IF(WHR_Comparison_2024_vs_2025!A126=$B$3,IF($E$3="2024",WHR_Comparison_2024_vs_2025!B126,WHR_Comparison_2024_vs_2025!I126),NA())),NA())</f>
        <v>4.2279000282287598</v>
      </c>
      <c r="I210" s="2">
        <f>IFERROR(IF($B$3="All",IF($E$3="2024",WHR_Comparison_2024_vs_2025!F126,WHR_Comparison_2024_vs_2025!M126),IF(WHR_Comparison_2024_vs_2025!A126=$B$3,IF($E$3="2024",WHR_Comparison_2024_vs_2025!F126,WHR_Comparison_2024_vs_2025!M126),NA())),NA())</f>
        <v>0.25047516822814903</v>
      </c>
      <c r="J210" s="33">
        <f>IFERROR(IF($B$3="All",IF($E$3="2024",WHR_Comparison_2024_vs_2025!B126,WHR_Comparison_2024_vs_2025!I126),IF(WHR_Comparison_2024_vs_2025!A126=$B$3,IF($E$3="2024",WHR_Comparison_2024_vs_2025!B126,WHR_Comparison_2024_vs_2025!I126),NA())),NA())</f>
        <v>4.2279000282287598</v>
      </c>
    </row>
    <row r="211" spans="1:10" x14ac:dyDescent="0.3">
      <c r="A211" s="32" t="str">
        <f>IF($B$3="All",WHR_Comparison_2024_vs_2025!A127,IF(WHR_Comparison_2024_vs_2025!A127=$B$3,WHR_Comparison_2024_vs_2025!A127,NA()))</f>
        <v>Zambia</v>
      </c>
      <c r="B211" s="2">
        <f>IFERROR(IF($B$3="All",WHR_Comparison_2024_vs_2025!B127,IF(WHR_Comparison_2024_vs_2025!A127=$B$3,WHR_Comparison_2024_vs_2025!B127,NA())),NA())</f>
        <v>3.9821999073028498</v>
      </c>
      <c r="C211" s="2">
        <f>IFERROR(IF($B$3="All",WHR_Comparison_2024_vs_2025!I127,IF(WHR_Comparison_2024_vs_2025!A127=$B$3,WHR_Comparison_2024_vs_2025!I127,NA())),NA())</f>
        <v>3.5023999214172301</v>
      </c>
      <c r="D211" s="2">
        <f>IFERROR(IF($B$3="All",WHR_Comparison_2024_vs_2025!P127,IF(WHR_Comparison_2024_vs_2025!A127=$B$3,WHR_Comparison_2024_vs_2025!P127,NA())),NA())</f>
        <v>-0.4798</v>
      </c>
      <c r="E211" s="2"/>
      <c r="F211" s="2"/>
      <c r="G211" s="2">
        <f>IFERROR(IF($B$3="All",IF($E$3="2024",WHR_Comparison_2024_vs_2025!C127,WHR_Comparison_2024_vs_2025!J127),IF(WHR_Comparison_2024_vs_2025!A127=$B$3,IF($E$3="2024",WHR_Comparison_2024_vs_2025!C127,WHR_Comparison_2024_vs_2025!J127),NA())),NA())</f>
        <v>0.89897161722183205</v>
      </c>
      <c r="H211" s="2">
        <f>IFERROR(IF($B$3="All",IF($E$3="2024",WHR_Comparison_2024_vs_2025!B127,WHR_Comparison_2024_vs_2025!I127),IF(WHR_Comparison_2024_vs_2025!A127=$B$3,IF($E$3="2024",WHR_Comparison_2024_vs_2025!B127,WHR_Comparison_2024_vs_2025!I127),NA())),NA())</f>
        <v>3.5023999214172301</v>
      </c>
      <c r="I211" s="2">
        <f>IFERROR(IF($B$3="All",IF($E$3="2024",WHR_Comparison_2024_vs_2025!F127,WHR_Comparison_2024_vs_2025!M127),IF(WHR_Comparison_2024_vs_2025!A127=$B$3,IF($E$3="2024",WHR_Comparison_2024_vs_2025!F127,WHR_Comparison_2024_vs_2025!M127),NA())),NA())</f>
        <v>0.72705924510955799</v>
      </c>
      <c r="J211" s="33">
        <f>IFERROR(IF($B$3="All",IF($E$3="2024",WHR_Comparison_2024_vs_2025!B127,WHR_Comparison_2024_vs_2025!I127),IF(WHR_Comparison_2024_vs_2025!A127=$B$3,IF($E$3="2024",WHR_Comparison_2024_vs_2025!B127,WHR_Comparison_2024_vs_2025!I127),NA())),NA())</f>
        <v>3.5023999214172301</v>
      </c>
    </row>
    <row r="212" spans="1:10" x14ac:dyDescent="0.3">
      <c r="A212" s="32" t="str">
        <f>IF($B$3="All",WHR_Comparison_2024_vs_2025!A128,IF(WHR_Comparison_2024_vs_2025!A128=$B$3,WHR_Comparison_2024_vs_2025!A128,NA()))</f>
        <v>Tanzania</v>
      </c>
      <c r="B212" s="2">
        <f>IFERROR(IF($B$3="All",WHR_Comparison_2024_vs_2025!B128,IF(WHR_Comparison_2024_vs_2025!A128=$B$3,WHR_Comparison_2024_vs_2025!B128,NA())),NA())</f>
        <v>3.6937999725341699</v>
      </c>
      <c r="C212" s="2">
        <f>IFERROR(IF($B$3="All",WHR_Comparison_2024_vs_2025!I128,IF(WHR_Comparison_2024_vs_2025!A128=$B$3,WHR_Comparison_2024_vs_2025!I128,NA())),NA())</f>
        <v>3.7806000709533598</v>
      </c>
      <c r="D212" s="2">
        <f>IFERROR(IF($B$3="All",WHR_Comparison_2024_vs_2025!P128,IF(WHR_Comparison_2024_vs_2025!A128=$B$3,WHR_Comparison_2024_vs_2025!P128,NA())),NA())</f>
        <v>8.6800000000000002E-2</v>
      </c>
      <c r="E212" s="2"/>
      <c r="F212" s="2"/>
      <c r="G212" s="2">
        <f>IFERROR(IF($B$3="All",IF($E$3="2024",WHR_Comparison_2024_vs_2025!C128,WHR_Comparison_2024_vs_2025!J128),IF(WHR_Comparison_2024_vs_2025!A128=$B$3,IF($E$3="2024",WHR_Comparison_2024_vs_2025!C128,WHR_Comparison_2024_vs_2025!J128),NA())),NA())</f>
        <v>0.82013702392578103</v>
      </c>
      <c r="H212" s="2">
        <f>IFERROR(IF($B$3="All",IF($E$3="2024",WHR_Comparison_2024_vs_2025!B128,WHR_Comparison_2024_vs_2025!I128),IF(WHR_Comparison_2024_vs_2025!A128=$B$3,IF($E$3="2024",WHR_Comparison_2024_vs_2025!B128,WHR_Comparison_2024_vs_2025!I128),NA())),NA())</f>
        <v>3.7806000709533598</v>
      </c>
      <c r="I212" s="2">
        <f>IFERROR(IF($B$3="All",IF($E$3="2024",WHR_Comparison_2024_vs_2025!F128,WHR_Comparison_2024_vs_2025!M128),IF(WHR_Comparison_2024_vs_2025!A128=$B$3,IF($E$3="2024",WHR_Comparison_2024_vs_2025!F128,WHR_Comparison_2024_vs_2025!M128),NA())),NA())</f>
        <v>0.70925503969192505</v>
      </c>
      <c r="J212" s="33">
        <f>IFERROR(IF($B$3="All",IF($E$3="2024",WHR_Comparison_2024_vs_2025!B128,WHR_Comparison_2024_vs_2025!I128),IF(WHR_Comparison_2024_vs_2025!A128=$B$3,IF($E$3="2024",WHR_Comparison_2024_vs_2025!B128,WHR_Comparison_2024_vs_2025!I128),NA())),NA())</f>
        <v>3.7806000709533598</v>
      </c>
    </row>
    <row r="213" spans="1:10" x14ac:dyDescent="0.3">
      <c r="A213" s="32" t="str">
        <f>IF($B$3="All",WHR_Comparison_2024_vs_2025!A129,IF(WHR_Comparison_2024_vs_2025!A129=$B$3,WHR_Comparison_2024_vs_2025!A129,NA()))</f>
        <v>Comoros</v>
      </c>
      <c r="B213" s="2">
        <f>IFERROR(IF($B$3="All",WHR_Comparison_2024_vs_2025!B129,IF(WHR_Comparison_2024_vs_2025!A129=$B$3,WHR_Comparison_2024_vs_2025!B129,NA())),NA())</f>
        <v>3.5452001094818102</v>
      </c>
      <c r="C213" s="2">
        <f>IFERROR(IF($B$3="All",WHR_Comparison_2024_vs_2025!I129,IF(WHR_Comparison_2024_vs_2025!A129=$B$3,WHR_Comparison_2024_vs_2025!I129,NA())),NA())</f>
        <v>3.5662999153137198</v>
      </c>
      <c r="D213" s="2">
        <f>IFERROR(IF($B$3="All",WHR_Comparison_2024_vs_2025!P129,IF(WHR_Comparison_2024_vs_2025!A129=$B$3,WHR_Comparison_2024_vs_2025!P129,NA())),NA())</f>
        <v>2.1100000000000001E-2</v>
      </c>
      <c r="E213" s="2"/>
      <c r="F213" s="2"/>
      <c r="G213" s="2">
        <f>IFERROR(IF($B$3="All",IF($E$3="2024",WHR_Comparison_2024_vs_2025!C129,WHR_Comparison_2024_vs_2025!J129),IF(WHR_Comparison_2024_vs_2025!A129=$B$3,IF($E$3="2024",WHR_Comparison_2024_vs_2025!C129,WHR_Comparison_2024_vs_2025!J129),NA())),NA())</f>
        <v>0.89553189277648904</v>
      </c>
      <c r="H213" s="2">
        <f>IFERROR(IF($B$3="All",IF($E$3="2024",WHR_Comparison_2024_vs_2025!B129,WHR_Comparison_2024_vs_2025!I129),IF(WHR_Comparison_2024_vs_2025!A129=$B$3,IF($E$3="2024",WHR_Comparison_2024_vs_2025!B129,WHR_Comparison_2024_vs_2025!I129),NA())),NA())</f>
        <v>3.5662999153137198</v>
      </c>
      <c r="I213" s="2">
        <f>IFERROR(IF($B$3="All",IF($E$3="2024",WHR_Comparison_2024_vs_2025!F129,WHR_Comparison_2024_vs_2025!M129),IF(WHR_Comparison_2024_vs_2025!A129=$B$3,IF($E$3="2024",WHR_Comparison_2024_vs_2025!F129,WHR_Comparison_2024_vs_2025!M129),NA())),NA())</f>
        <v>0.17212426662444999</v>
      </c>
      <c r="J213" s="33">
        <f>IFERROR(IF($B$3="All",IF($E$3="2024",WHR_Comparison_2024_vs_2025!B129,WHR_Comparison_2024_vs_2025!I129),IF(WHR_Comparison_2024_vs_2025!A129=$B$3,IF($E$3="2024",WHR_Comparison_2024_vs_2025!B129,WHR_Comparison_2024_vs_2025!I129),NA())),NA())</f>
        <v>3.5662999153137198</v>
      </c>
    </row>
    <row r="214" spans="1:10" x14ac:dyDescent="0.3">
      <c r="A214" s="32" t="str">
        <f>IF($B$3="All",WHR_Comparison_2024_vs_2025!A130,IF(WHR_Comparison_2024_vs_2025!A130=$B$3,WHR_Comparison_2024_vs_2025!A130,NA()))</f>
        <v>Malawi</v>
      </c>
      <c r="B214" s="2">
        <f>IFERROR(IF($B$3="All",WHR_Comparison_2024_vs_2025!B130,IF(WHR_Comparison_2024_vs_2025!A130=$B$3,WHR_Comparison_2024_vs_2025!B130,NA())),NA())</f>
        <v>3.4951999187469398</v>
      </c>
      <c r="C214" s="2">
        <f>IFERROR(IF($B$3="All",WHR_Comparison_2024_vs_2025!I130,IF(WHR_Comparison_2024_vs_2025!A130=$B$3,WHR_Comparison_2024_vs_2025!I130,NA())),NA())</f>
        <v>3.4210000038146902</v>
      </c>
      <c r="D214" s="2">
        <f>IFERROR(IF($B$3="All",WHR_Comparison_2024_vs_2025!P130,IF(WHR_Comparison_2024_vs_2025!A130=$B$3,WHR_Comparison_2024_vs_2025!P130,NA())),NA())</f>
        <v>-7.4200000000000002E-2</v>
      </c>
      <c r="E214" s="2"/>
      <c r="F214" s="2"/>
      <c r="G214" s="2">
        <f>IFERROR(IF($B$3="All",IF($E$3="2024",WHR_Comparison_2024_vs_2025!C130,WHR_Comparison_2024_vs_2025!J130),IF(WHR_Comparison_2024_vs_2025!A130=$B$3,IF($E$3="2024",WHR_Comparison_2024_vs_2025!C130,WHR_Comparison_2024_vs_2025!J130),NA())),NA())</f>
        <v>0.61691111326217596</v>
      </c>
      <c r="H214" s="2">
        <f>IFERROR(IF($B$3="All",IF($E$3="2024",WHR_Comparison_2024_vs_2025!B130,WHR_Comparison_2024_vs_2025!I130),IF(WHR_Comparison_2024_vs_2025!A130=$B$3,IF($E$3="2024",WHR_Comparison_2024_vs_2025!B130,WHR_Comparison_2024_vs_2025!I130),NA())),NA())</f>
        <v>3.4210000038146902</v>
      </c>
      <c r="I214" s="2">
        <f>IFERROR(IF($B$3="All",IF($E$3="2024",WHR_Comparison_2024_vs_2025!F130,WHR_Comparison_2024_vs_2025!M130),IF(WHR_Comparison_2024_vs_2025!A130=$B$3,IF($E$3="2024",WHR_Comparison_2024_vs_2025!F130,WHR_Comparison_2024_vs_2025!M130),NA())),NA())</f>
        <v>0.570892453193664</v>
      </c>
      <c r="J214" s="33">
        <f>IFERROR(IF($B$3="All",IF($E$3="2024",WHR_Comparison_2024_vs_2025!B130,WHR_Comparison_2024_vs_2025!I130),IF(WHR_Comparison_2024_vs_2025!A130=$B$3,IF($E$3="2024",WHR_Comparison_2024_vs_2025!B130,WHR_Comparison_2024_vs_2025!I130),NA())),NA())</f>
        <v>3.4210000038146902</v>
      </c>
    </row>
    <row r="215" spans="1:10" x14ac:dyDescent="0.3">
      <c r="A215" s="32" t="str">
        <f>IF($B$3="All",WHR_Comparison_2024_vs_2025!A131,IF(WHR_Comparison_2024_vs_2025!A131=$B$3,WHR_Comparison_2024_vs_2025!A131,NA()))</f>
        <v>Botswana</v>
      </c>
      <c r="B215" s="2">
        <f>IFERROR(IF($B$3="All",WHR_Comparison_2024_vs_2025!B131,IF(WHR_Comparison_2024_vs_2025!A131=$B$3,WHR_Comparison_2024_vs_2025!B131,NA())),NA())</f>
        <v>3.4353001117706299</v>
      </c>
      <c r="C215" s="2">
        <f>IFERROR(IF($B$3="All",WHR_Comparison_2024_vs_2025!I131,IF(WHR_Comparison_2024_vs_2025!A131=$B$3,WHR_Comparison_2024_vs_2025!I131,NA())),NA())</f>
        <v>3.3833999633789</v>
      </c>
      <c r="D215" s="2">
        <f>IFERROR(IF($B$3="All",WHR_Comparison_2024_vs_2025!P131,IF(WHR_Comparison_2024_vs_2025!A131=$B$3,WHR_Comparison_2024_vs_2025!P131,NA())),NA())</f>
        <v>-5.1900000000000002E-2</v>
      </c>
      <c r="E215" s="2"/>
      <c r="F215" s="2"/>
      <c r="G215" s="2">
        <f>IFERROR(IF($B$3="All",IF($E$3="2024",WHR_Comparison_2024_vs_2025!C131,WHR_Comparison_2024_vs_2025!J131),IF(WHR_Comparison_2024_vs_2025!A131=$B$3,IF($E$3="2024",WHR_Comparison_2024_vs_2025!C131,WHR_Comparison_2024_vs_2025!J131),NA())),NA())</f>
        <v>1.44469130039215</v>
      </c>
      <c r="H215" s="2">
        <f>IFERROR(IF($B$3="All",IF($E$3="2024",WHR_Comparison_2024_vs_2025!B131,WHR_Comparison_2024_vs_2025!I131),IF(WHR_Comparison_2024_vs_2025!A131=$B$3,IF($E$3="2024",WHR_Comparison_2024_vs_2025!B131,WHR_Comparison_2024_vs_2025!I131),NA())),NA())</f>
        <v>3.3833999633789</v>
      </c>
      <c r="I215" s="2">
        <f>IFERROR(IF($B$3="All",IF($E$3="2024",WHR_Comparison_2024_vs_2025!F131,WHR_Comparison_2024_vs_2025!M131),IF(WHR_Comparison_2024_vs_2025!A131=$B$3,IF($E$3="2024",WHR_Comparison_2024_vs_2025!F131,WHR_Comparison_2024_vs_2025!M131),NA())),NA())</f>
        <v>0.56670814752578702</v>
      </c>
      <c r="J215" s="33">
        <f>IFERROR(IF($B$3="All",IF($E$3="2024",WHR_Comparison_2024_vs_2025!B131,WHR_Comparison_2024_vs_2025!I131),IF(WHR_Comparison_2024_vs_2025!A131=$B$3,IF($E$3="2024",WHR_Comparison_2024_vs_2025!B131,WHR_Comparison_2024_vs_2025!I131),NA())),NA())</f>
        <v>3.3833999633789</v>
      </c>
    </row>
    <row r="216" spans="1:10" x14ac:dyDescent="0.3">
      <c r="A216" s="32" t="str">
        <f>IF($B$3="All",WHR_Comparison_2024_vs_2025!A132,IF(WHR_Comparison_2024_vs_2025!A132=$B$3,WHR_Comparison_2024_vs_2025!A132,NA()))</f>
        <v>Congo (Kinshasa)</v>
      </c>
      <c r="B216" s="2">
        <f>IFERROR(IF($B$3="All",WHR_Comparison_2024_vs_2025!B132,IF(WHR_Comparison_2024_vs_2025!A132=$B$3,WHR_Comparison_2024_vs_2025!B132,NA())),NA())</f>
        <v>3.2072000503539999</v>
      </c>
      <c r="C216" s="2">
        <f>IFERROR(IF($B$3="All",WHR_Comparison_2024_vs_2025!I132,IF(WHR_Comparison_2024_vs_2025!A132=$B$3,WHR_Comparison_2024_vs_2025!I132,NA())),NA())</f>
        <v>3.2953999042510902</v>
      </c>
      <c r="D216" s="2">
        <f>IFERROR(IF($B$3="All",WHR_Comparison_2024_vs_2025!P132,IF(WHR_Comparison_2024_vs_2025!A132=$B$3,WHR_Comparison_2024_vs_2025!P132,NA())),NA())</f>
        <v>8.8200000000000001E-2</v>
      </c>
      <c r="E216" s="2"/>
      <c r="F216" s="2"/>
      <c r="G216" s="2">
        <f>IFERROR(IF($B$3="All",IF($E$3="2024",WHR_Comparison_2024_vs_2025!C132,WHR_Comparison_2024_vs_2025!J132),IF(WHR_Comparison_2024_vs_2025!A132=$B$3,IF($E$3="2024",WHR_Comparison_2024_vs_2025!C132,WHR_Comparison_2024_vs_2025!J132),NA())),NA())</f>
        <v>0.53367000818252497</v>
      </c>
      <c r="H216" s="2">
        <f>IFERROR(IF($B$3="All",IF($E$3="2024",WHR_Comparison_2024_vs_2025!B132,WHR_Comparison_2024_vs_2025!I132),IF(WHR_Comparison_2024_vs_2025!A132=$B$3,IF($E$3="2024",WHR_Comparison_2024_vs_2025!B132,WHR_Comparison_2024_vs_2025!I132),NA())),NA())</f>
        <v>3.2953999042510902</v>
      </c>
      <c r="I216" s="2">
        <f>IFERROR(IF($B$3="All",IF($E$3="2024",WHR_Comparison_2024_vs_2025!F132,WHR_Comparison_2024_vs_2025!M132),IF(WHR_Comparison_2024_vs_2025!A132=$B$3,IF($E$3="2024",WHR_Comparison_2024_vs_2025!F132,WHR_Comparison_2024_vs_2025!M132),NA())),NA())</f>
        <v>0.47270506620407099</v>
      </c>
      <c r="J216" s="33">
        <f>IFERROR(IF($B$3="All",IF($E$3="2024",WHR_Comparison_2024_vs_2025!B132,WHR_Comparison_2024_vs_2025!I132),IF(WHR_Comparison_2024_vs_2025!A132=$B$3,IF($E$3="2024",WHR_Comparison_2024_vs_2025!B132,WHR_Comparison_2024_vs_2025!I132),NA())),NA())</f>
        <v>3.2953999042510902</v>
      </c>
    </row>
    <row r="217" spans="1:10" x14ac:dyDescent="0.3">
      <c r="A217" s="32" t="str">
        <f>IF($B$3="All",WHR_Comparison_2024_vs_2025!A133,IF(WHR_Comparison_2024_vs_2025!A133=$B$3,WHR_Comparison_2024_vs_2025!A133,NA()))</f>
        <v>Zimbabwe</v>
      </c>
      <c r="B217" s="2">
        <f>IFERROR(IF($B$3="All",WHR_Comparison_2024_vs_2025!B133,IF(WHR_Comparison_2024_vs_2025!A133=$B$3,WHR_Comparison_2024_vs_2025!B133,NA())),NA())</f>
        <v>3.2035000324249201</v>
      </c>
      <c r="C217" s="2">
        <f>IFERROR(IF($B$3="All",WHR_Comparison_2024_vs_2025!I133,IF(WHR_Comparison_2024_vs_2025!A133=$B$3,WHR_Comparison_2024_vs_2025!I133,NA())),NA())</f>
        <v>3.3410999774932799</v>
      </c>
      <c r="D217" s="2">
        <f>IFERROR(IF($B$3="All",WHR_Comparison_2024_vs_2025!P133,IF(WHR_Comparison_2024_vs_2025!A133=$B$3,WHR_Comparison_2024_vs_2025!P133,NA())),NA())</f>
        <v>0.1376</v>
      </c>
      <c r="E217" s="2"/>
      <c r="F217" s="2"/>
      <c r="G217" s="2">
        <f>IFERROR(IF($B$3="All",IF($E$3="2024",WHR_Comparison_2024_vs_2025!C133,WHR_Comparison_2024_vs_2025!J133),IF(WHR_Comparison_2024_vs_2025!A133=$B$3,IF($E$3="2024",WHR_Comparison_2024_vs_2025!C133,WHR_Comparison_2024_vs_2025!J133),NA())),NA())</f>
        <v>0.74833720922470004</v>
      </c>
      <c r="H217" s="2">
        <f>IFERROR(IF($B$3="All",IF($E$3="2024",WHR_Comparison_2024_vs_2025!B133,WHR_Comparison_2024_vs_2025!I133),IF(WHR_Comparison_2024_vs_2025!A133=$B$3,IF($E$3="2024",WHR_Comparison_2024_vs_2025!B133,WHR_Comparison_2024_vs_2025!I133),NA())),NA())</f>
        <v>3.3410999774932799</v>
      </c>
      <c r="I217" s="2">
        <f>IFERROR(IF($B$3="All",IF($E$3="2024",WHR_Comparison_2024_vs_2025!F133,WHR_Comparison_2024_vs_2025!M133),IF(WHR_Comparison_2024_vs_2025!A133=$B$3,IF($E$3="2024",WHR_Comparison_2024_vs_2025!F133,WHR_Comparison_2024_vs_2025!M133),NA())),NA())</f>
        <v>0.48692381381988498</v>
      </c>
      <c r="J217" s="33">
        <f>IFERROR(IF($B$3="All",IF($E$3="2024",WHR_Comparison_2024_vs_2025!B133,WHR_Comparison_2024_vs_2025!I133),IF(WHR_Comparison_2024_vs_2025!A133=$B$3,IF($E$3="2024",WHR_Comparison_2024_vs_2025!B133,WHR_Comparison_2024_vs_2025!I133),NA())),NA())</f>
        <v>3.3410999774932799</v>
      </c>
    </row>
    <row r="218" spans="1:10" x14ac:dyDescent="0.3">
      <c r="A218" s="32" t="str">
        <f>IF($B$3="All",WHR_Comparison_2024_vs_2025!A134,IF(WHR_Comparison_2024_vs_2025!A134=$B$3,WHR_Comparison_2024_vs_2025!A134,NA()))</f>
        <v>Sierra Leone</v>
      </c>
      <c r="B218" s="2">
        <f>IFERROR(IF($B$3="All",WHR_Comparison_2024_vs_2025!B134,IF(WHR_Comparison_2024_vs_2025!A134=$B$3,WHR_Comparison_2024_vs_2025!B134,NA())),NA())</f>
        <v>3.13759994506835</v>
      </c>
      <c r="C218" s="2">
        <f>IFERROR(IF($B$3="All",WHR_Comparison_2024_vs_2025!I134,IF(WHR_Comparison_2024_vs_2025!A134=$B$3,WHR_Comparison_2024_vs_2025!I134,NA())),NA())</f>
        <v>3.2451999187469398</v>
      </c>
      <c r="D218" s="2">
        <f>IFERROR(IF($B$3="All",WHR_Comparison_2024_vs_2025!P134,IF(WHR_Comparison_2024_vs_2025!A134=$B$3,WHR_Comparison_2024_vs_2025!P134,NA())),NA())</f>
        <v>0.1076</v>
      </c>
      <c r="E218" s="2"/>
      <c r="F218" s="2"/>
      <c r="G218" s="2">
        <f>IFERROR(IF($B$3="All",IF($E$3="2024",WHR_Comparison_2024_vs_2025!C134,WHR_Comparison_2024_vs_2025!J134),IF(WHR_Comparison_2024_vs_2025!A134=$B$3,IF($E$3="2024",WHR_Comparison_2024_vs_2025!C134,WHR_Comparison_2024_vs_2025!J134),NA())),NA())</f>
        <v>0.65427839756011896</v>
      </c>
      <c r="H218" s="2">
        <f>IFERROR(IF($B$3="All",IF($E$3="2024",WHR_Comparison_2024_vs_2025!B134,WHR_Comparison_2024_vs_2025!I134),IF(WHR_Comparison_2024_vs_2025!A134=$B$3,IF($E$3="2024",WHR_Comparison_2024_vs_2025!B134,WHR_Comparison_2024_vs_2025!I134),NA())),NA())</f>
        <v>3.2451999187469398</v>
      </c>
      <c r="I218" s="2">
        <f>IFERROR(IF($B$3="All",IF($E$3="2024",WHR_Comparison_2024_vs_2025!F134,WHR_Comparison_2024_vs_2025!M134),IF(WHR_Comparison_2024_vs_2025!A134=$B$3,IF($E$3="2024",WHR_Comparison_2024_vs_2025!F134,WHR_Comparison_2024_vs_2025!M134),NA())),NA())</f>
        <v>0.46903476119041398</v>
      </c>
      <c r="J218" s="33">
        <f>IFERROR(IF($B$3="All",IF($E$3="2024",WHR_Comparison_2024_vs_2025!B134,WHR_Comparison_2024_vs_2025!I134),IF(WHR_Comparison_2024_vs_2025!A134=$B$3,IF($E$3="2024",WHR_Comparison_2024_vs_2025!B134,WHR_Comparison_2024_vs_2025!I134),NA())),NA())</f>
        <v>3.2451999187469398</v>
      </c>
    </row>
    <row r="219" spans="1:10" x14ac:dyDescent="0.3">
      <c r="A219" s="32" t="str">
        <f>IF($B$3="All",WHR_Comparison_2024_vs_2025!A135,IF(WHR_Comparison_2024_vs_2025!A135=$B$3,WHR_Comparison_2024_vs_2025!A135,NA()))</f>
        <v>Lebanon</v>
      </c>
      <c r="B219" s="2">
        <f>IFERROR(IF($B$3="All",WHR_Comparison_2024_vs_2025!B135,IF(WHR_Comparison_2024_vs_2025!A135=$B$3,WHR_Comparison_2024_vs_2025!B135,NA())),NA())</f>
        <v>2.39219999313354</v>
      </c>
      <c r="C219" s="2">
        <f>IFERROR(IF($B$3="All",WHR_Comparison_2024_vs_2025!I135,IF(WHR_Comparison_2024_vs_2025!A135=$B$3,WHR_Comparison_2024_vs_2025!I135,NA())),NA())</f>
        <v>2.7065000534057599</v>
      </c>
      <c r="D219" s="2">
        <f>IFERROR(IF($B$3="All",WHR_Comparison_2024_vs_2025!P135,IF(WHR_Comparison_2024_vs_2025!A135=$B$3,WHR_Comparison_2024_vs_2025!P135,NA())),NA())</f>
        <v>0.31430000000000002</v>
      </c>
      <c r="E219" s="2"/>
      <c r="F219" s="2"/>
      <c r="G219" s="2">
        <f>IFERROR(IF($B$3="All",IF($E$3="2024",WHR_Comparison_2024_vs_2025!C135,WHR_Comparison_2024_vs_2025!J135),IF(WHR_Comparison_2024_vs_2025!A135=$B$3,IF($E$3="2024",WHR_Comparison_2024_vs_2025!C135,WHR_Comparison_2024_vs_2025!J135),NA())),NA())</f>
        <v>1.37672555446624</v>
      </c>
      <c r="H219" s="2">
        <f>IFERROR(IF($B$3="All",IF($E$3="2024",WHR_Comparison_2024_vs_2025!B135,WHR_Comparison_2024_vs_2025!I135),IF(WHR_Comparison_2024_vs_2025!A135=$B$3,IF($E$3="2024",WHR_Comparison_2024_vs_2025!B135,WHR_Comparison_2024_vs_2025!I135),NA())),NA())</f>
        <v>2.7065000534057599</v>
      </c>
      <c r="I219" s="2">
        <f>IFERROR(IF($B$3="All",IF($E$3="2024",WHR_Comparison_2024_vs_2025!F135,WHR_Comparison_2024_vs_2025!M135),IF(WHR_Comparison_2024_vs_2025!A135=$B$3,IF($E$3="2024",WHR_Comparison_2024_vs_2025!F135,WHR_Comparison_2024_vs_2025!M135),NA())),NA())</f>
        <v>0.17322312295436801</v>
      </c>
      <c r="J219" s="33">
        <f>IFERROR(IF($B$3="All",IF($E$3="2024",WHR_Comparison_2024_vs_2025!B135,WHR_Comparison_2024_vs_2025!I135),IF(WHR_Comparison_2024_vs_2025!A135=$B$3,IF($E$3="2024",WHR_Comparison_2024_vs_2025!B135,WHR_Comparison_2024_vs_2025!I135),NA())),NA())</f>
        <v>2.7065000534057599</v>
      </c>
    </row>
    <row r="220" spans="1:10" x14ac:dyDescent="0.3">
      <c r="A220" s="29" t="str">
        <f>IF($B$3="All",WHR_Comparison_2024_vs_2025!A136,IF(WHR_Comparison_2024_vs_2025!A136=$B$3,WHR_Comparison_2024_vs_2025!A136,NA()))</f>
        <v>Afghanistan</v>
      </c>
      <c r="B220" s="35">
        <f>IFERROR(IF($B$3="All",WHR_Comparison_2024_vs_2025!B136,IF(WHR_Comparison_2024_vs_2025!A136=$B$3,WHR_Comparison_2024_vs_2025!B136,NA())),NA())</f>
        <v>1.8589999675750699</v>
      </c>
      <c r="C220" s="35">
        <f>IFERROR(IF($B$3="All",WHR_Comparison_2024_vs_2025!I136,IF(WHR_Comparison_2024_vs_2025!A136=$B$3,WHR_Comparison_2024_vs_2025!I136,NA())),NA())</f>
        <v>1.7209999561309799</v>
      </c>
      <c r="D220" s="35">
        <f>IFERROR(IF($B$3="All",WHR_Comparison_2024_vs_2025!P136,IF(WHR_Comparison_2024_vs_2025!A136=$B$3,WHR_Comparison_2024_vs_2025!P136,NA())),NA())</f>
        <v>-0.13800000000000001</v>
      </c>
      <c r="E220" s="35"/>
      <c r="F220" s="35"/>
      <c r="G220" s="35">
        <f>IFERROR(IF($B$3="All",IF($E$3="2024",WHR_Comparison_2024_vs_2025!C136,WHR_Comparison_2024_vs_2025!J136),IF(WHR_Comparison_2024_vs_2025!A136=$B$3,IF($E$3="2024",WHR_Comparison_2024_vs_2025!C136,WHR_Comparison_2024_vs_2025!J136),NA())),NA())</f>
        <v>0.62813818454742398</v>
      </c>
      <c r="H220" s="35">
        <f>IFERROR(IF($B$3="All",IF($E$3="2024",WHR_Comparison_2024_vs_2025!B136,WHR_Comparison_2024_vs_2025!I136),IF(WHR_Comparison_2024_vs_2025!A136=$B$3,IF($E$3="2024",WHR_Comparison_2024_vs_2025!B136,WHR_Comparison_2024_vs_2025!I136),NA())),NA())</f>
        <v>1.7209999561309799</v>
      </c>
      <c r="I220" s="35">
        <f>IFERROR(IF($B$3="All",IF($E$3="2024",WHR_Comparison_2024_vs_2025!F136,WHR_Comparison_2024_vs_2025!M136),IF(WHR_Comparison_2024_vs_2025!A136=$B$3,IF($E$3="2024",WHR_Comparison_2024_vs_2025!F136,WHR_Comparison_2024_vs_2025!M136),NA())),NA())</f>
        <v>0</v>
      </c>
      <c r="J220" s="28">
        <f>IFERROR(IF($B$3="All",IF($E$3="2024",WHR_Comparison_2024_vs_2025!B136,WHR_Comparison_2024_vs_2025!I136),IF(WHR_Comparison_2024_vs_2025!A136=$B$3,IF($E$3="2024",WHR_Comparison_2024_vs_2025!B136,WHR_Comparison_2024_vs_2025!I136),NA())),NA())</f>
        <v>1.7209999561309799</v>
      </c>
    </row>
    <row r="231" spans="40:40" x14ac:dyDescent="0.3">
      <c r="AN231" t="s">
        <v>134</v>
      </c>
    </row>
    <row r="232" spans="40:40" x14ac:dyDescent="0.3">
      <c r="AN232" t="s">
        <v>135</v>
      </c>
    </row>
    <row r="233" spans="40:40" x14ac:dyDescent="0.3">
      <c r="AN233" t="s">
        <v>136</v>
      </c>
    </row>
    <row r="234" spans="40:40" x14ac:dyDescent="0.3">
      <c r="AN234" t="s">
        <v>137</v>
      </c>
    </row>
    <row r="235" spans="40:40" x14ac:dyDescent="0.3">
      <c r="AN235" t="s">
        <v>138</v>
      </c>
    </row>
    <row r="236" spans="40:40" x14ac:dyDescent="0.3">
      <c r="AN236" t="s">
        <v>139</v>
      </c>
    </row>
    <row r="237" spans="40:40" x14ac:dyDescent="0.3">
      <c r="AN237" t="s">
        <v>140</v>
      </c>
    </row>
    <row r="238" spans="40:40" x14ac:dyDescent="0.3">
      <c r="AN238" t="s">
        <v>141</v>
      </c>
    </row>
    <row r="239" spans="40:40" x14ac:dyDescent="0.3">
      <c r="AN239" t="s">
        <v>142</v>
      </c>
    </row>
    <row r="240" spans="40:40" x14ac:dyDescent="0.3">
      <c r="AN240" t="s">
        <v>143</v>
      </c>
    </row>
    <row r="241" spans="30:40" x14ac:dyDescent="0.3">
      <c r="AN241" t="s">
        <v>144</v>
      </c>
    </row>
    <row r="242" spans="30:40" x14ac:dyDescent="0.3">
      <c r="AN242" t="s">
        <v>145</v>
      </c>
    </row>
    <row r="243" spans="30:40" x14ac:dyDescent="0.3">
      <c r="AN243" t="s">
        <v>146</v>
      </c>
    </row>
    <row r="244" spans="30:40" x14ac:dyDescent="0.3">
      <c r="AN244" t="s">
        <v>147</v>
      </c>
    </row>
    <row r="245" spans="30:40" x14ac:dyDescent="0.3">
      <c r="AN245" t="s">
        <v>148</v>
      </c>
    </row>
    <row r="246" spans="30:40" x14ac:dyDescent="0.3">
      <c r="AD246" t="str">
        <f>WHR_Comparison_2024_vs_2025!A136</f>
        <v>Afghanistan</v>
      </c>
      <c r="AN246" t="s">
        <v>149</v>
      </c>
    </row>
  </sheetData>
  <mergeCells count="4">
    <mergeCell ref="A59:D59"/>
    <mergeCell ref="O84:P84"/>
    <mergeCell ref="A84:J84"/>
    <mergeCell ref="L84:M84"/>
  </mergeCells>
  <phoneticPr fontId="28" type="noConversion"/>
  <conditionalFormatting sqref="D61:D80">
    <cfRule type="cellIs" priority="1" operator="greaterThan">
      <formula>0</formula>
    </cfRule>
  </conditionalFormatting>
  <dataValidations count="2">
    <dataValidation type="list" allowBlank="1" showInputMessage="1" showErrorMessage="1" sqref="E3" xr:uid="{23FE9E45-AB67-4669-A06F-D07050913CD4}">
      <formula1>$AF$2:$AF$4</formula1>
    </dataValidation>
    <dataValidation type="list" allowBlank="1" showInputMessage="1" showErrorMessage="1" sqref="B3" xr:uid="{32D8266D-3696-4823-A88A-65666033785D}">
      <formula1>$AD$2:$AD$246</formula1>
    </dataValidation>
  </dataValidations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WHR_Comparison_2024_vs_2025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Aqdas Khan Nadeem Khan</cp:lastModifiedBy>
  <dcterms:created xsi:type="dcterms:W3CDTF">2026-05-16T14:46:35Z</dcterms:created>
  <dcterms:modified xsi:type="dcterms:W3CDTF">2026-05-24T07:03:12Z</dcterms:modified>
</cp:coreProperties>
</file>