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tables/table3.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Excel and PowerBi pract\DA Final CP\"/>
    </mc:Choice>
  </mc:AlternateContent>
  <xr:revisionPtr revIDLastSave="0" documentId="13_ncr:1_{0317AF61-1417-4CD4-AA95-B54A89919BB7}" xr6:coauthVersionLast="47" xr6:coauthVersionMax="47" xr10:uidLastSave="{00000000-0000-0000-0000-000000000000}"/>
  <bookViews>
    <workbookView xWindow="-108" yWindow="-108" windowWidth="23256" windowHeight="12456" activeTab="5" xr2:uid="{FD98DC4B-AEE9-438E-A09F-B0CAF8D4A69F}"/>
  </bookViews>
  <sheets>
    <sheet name="Data" sheetId="1" r:id="rId1"/>
    <sheet name="Dataset" sheetId="10" r:id="rId2"/>
    <sheet name="Pivot Tables" sheetId="6" r:id="rId3"/>
    <sheet name="KPIs" sheetId="7" r:id="rId4"/>
    <sheet name="Charts" sheetId="8" r:id="rId5"/>
    <sheet name="Dashboard" sheetId="9" r:id="rId6"/>
  </sheets>
  <definedNames>
    <definedName name="Slicer_Country">#N/A</definedName>
    <definedName name="Slicer_Country1">#N/A</definedName>
    <definedName name="Slicer_Region">#N/A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4:slicerCache r:id="rId8"/>
        <x14:slicerCache r:id="rId9"/>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1" i="9" l="1"/>
  <c r="M6" i="9"/>
  <c r="J6" i="9"/>
  <c r="G6" i="9"/>
  <c r="D6" i="9"/>
  <c r="A6" i="9"/>
  <c r="J2" i="1"/>
  <c r="E12" i="6" s="1" a="1"/>
  <c r="E12" i="6" s="1"/>
  <c r="D12" i="6" s="1" a="1"/>
  <c r="D12" i="6" s="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B23" i="6" s="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B25" i="6" s="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B19" i="6" l="1"/>
  <c r="B20" i="6"/>
  <c r="B8" i="6" a="1"/>
  <c r="B8" i="6" s="1"/>
  <c r="A8" i="6" s="1" a="1"/>
  <c r="A8" i="6" s="1"/>
  <c r="B4" i="7"/>
  <c r="B7" i="6" a="1"/>
  <c r="B7" i="6" s="1"/>
  <c r="A7" i="6" s="1" a="1"/>
  <c r="A7" i="6" s="1"/>
  <c r="E11" i="6" a="1"/>
  <c r="E11" i="6" s="1"/>
  <c r="D11" i="6" s="1" a="1"/>
  <c r="D11" i="6" s="1"/>
  <c r="B14" i="6" a="1"/>
  <c r="B14" i="6" s="1"/>
  <c r="A14" i="6" s="1" a="1"/>
  <c r="A14" i="6" s="1"/>
  <c r="B6" i="6" a="1"/>
  <c r="B6" i="6" s="1"/>
  <c r="A6" i="6" s="1" a="1"/>
  <c r="A6" i="6" s="1"/>
  <c r="E10" i="6" a="1"/>
  <c r="E10" i="6" s="1"/>
  <c r="D10" i="6" s="1" a="1"/>
  <c r="D10" i="6" s="1"/>
  <c r="B26" i="6"/>
  <c r="C23" i="6"/>
  <c r="B13" i="6" a="1"/>
  <c r="B13" i="6" s="1"/>
  <c r="A13" i="6" s="1" a="1"/>
  <c r="A13" i="6" s="1"/>
  <c r="E9" i="6" a="1"/>
  <c r="E9" i="6" s="1"/>
  <c r="D9" i="6" s="1" a="1"/>
  <c r="D9" i="6" s="1"/>
  <c r="B27" i="6"/>
  <c r="C24" i="6"/>
  <c r="B12" i="6" a="1"/>
  <c r="B12" i="6" s="1"/>
  <c r="A12" i="6" s="1" a="1"/>
  <c r="A12" i="6" s="1"/>
  <c r="B5" i="6" a="1"/>
  <c r="B5" i="6" s="1"/>
  <c r="A5" i="6" s="1" a="1"/>
  <c r="A5" i="6" s="1"/>
  <c r="E8" i="6" a="1"/>
  <c r="E8" i="6" s="1"/>
  <c r="D8" i="6" s="1" a="1"/>
  <c r="D8" i="6" s="1"/>
  <c r="B22" i="6"/>
  <c r="B11" i="6" a="1"/>
  <c r="B11" i="6" s="1"/>
  <c r="A11" i="6" s="1" a="1"/>
  <c r="A11" i="6" s="1"/>
  <c r="E7" i="6" a="1"/>
  <c r="E7" i="6" s="1"/>
  <c r="D7" i="6" s="1" a="1"/>
  <c r="D7" i="6" s="1"/>
  <c r="D21" i="6"/>
  <c r="B10" i="6" a="1"/>
  <c r="B10" i="6" s="1"/>
  <c r="A10" i="6" s="1" a="1"/>
  <c r="A10" i="6" s="1"/>
  <c r="E14" i="6" a="1"/>
  <c r="E14" i="6" s="1"/>
  <c r="D14" i="6" s="1" a="1"/>
  <c r="D14" i="6" s="1"/>
  <c r="E6" i="6" a="1"/>
  <c r="E6" i="6" s="1"/>
  <c r="D6" i="6" s="1" a="1"/>
  <c r="D6" i="6" s="1"/>
  <c r="G23" i="6" a="1"/>
  <c r="G23" i="6" s="1"/>
  <c r="B9" i="6" a="1"/>
  <c r="B9" i="6" s="1"/>
  <c r="A9" i="6" s="1" a="1"/>
  <c r="A9" i="6" s="1"/>
  <c r="E13" i="6" a="1"/>
  <c r="E13" i="6" s="1"/>
  <c r="D13" i="6" s="1" a="1"/>
  <c r="D13" i="6" s="1"/>
  <c r="E5" i="6" a="1"/>
  <c r="E5" i="6" s="1"/>
  <c r="D5" i="6" s="1" a="1"/>
  <c r="D5" i="6" s="1"/>
  <c r="G26" i="6" a="1"/>
  <c r="G26" i="6" s="1"/>
  <c r="G18" i="6" a="1"/>
  <c r="G18" i="6" s="1"/>
  <c r="D26" i="6"/>
  <c r="B24" i="6"/>
  <c r="C21" i="6"/>
  <c r="D18" i="6"/>
  <c r="G25" i="6" a="1"/>
  <c r="G25" i="6" s="1"/>
  <c r="R2" i="8" a="1"/>
  <c r="R2" i="8" s="1"/>
  <c r="C26" i="6"/>
  <c r="D23" i="6"/>
  <c r="B21" i="6"/>
  <c r="C18" i="6"/>
  <c r="G24" i="6" a="1"/>
  <c r="G24" i="6" s="1"/>
  <c r="V2" i="8" a="1"/>
  <c r="V2" i="8" s="1"/>
  <c r="D20" i="6"/>
  <c r="B18" i="6"/>
  <c r="D25" i="6"/>
  <c r="C20" i="6"/>
  <c r="B8" i="7"/>
  <c r="G22" i="6" a="1"/>
  <c r="G22" i="6" s="1"/>
  <c r="C25" i="6"/>
  <c r="D22" i="6"/>
  <c r="B7" i="7"/>
  <c r="G21" i="6" a="1"/>
  <c r="G21" i="6" s="1"/>
  <c r="D27" i="6"/>
  <c r="C22" i="6"/>
  <c r="D19" i="6"/>
  <c r="B6" i="7"/>
  <c r="B3" i="7" a="1"/>
  <c r="B3" i="7" s="1"/>
  <c r="G20" i="6" a="1"/>
  <c r="G20" i="6" s="1"/>
  <c r="C27" i="6"/>
  <c r="D24" i="6"/>
  <c r="C19" i="6"/>
  <c r="B5" i="7"/>
  <c r="G27" i="6" a="1"/>
  <c r="G27" i="6" s="1"/>
  <c r="G19" i="6" a="1"/>
  <c r="G19" i="6" s="1"/>
  <c r="X144" i="8"/>
  <c r="W144" i="8"/>
  <c r="V144" i="8"/>
  <c r="X143" i="8"/>
  <c r="W143" i="8"/>
  <c r="V143" i="8"/>
  <c r="X142" i="8"/>
  <c r="W142" i="8"/>
  <c r="V142" i="8"/>
  <c r="X141" i="8"/>
  <c r="W141" i="8"/>
  <c r="V141" i="8"/>
  <c r="X140" i="8"/>
  <c r="W140" i="8"/>
  <c r="V140" i="8"/>
  <c r="X139" i="8"/>
  <c r="W139" i="8"/>
  <c r="V139" i="8"/>
  <c r="X138" i="8"/>
  <c r="W138" i="8"/>
  <c r="V138" i="8"/>
  <c r="X137" i="8"/>
  <c r="W137" i="8"/>
  <c r="V137" i="8"/>
  <c r="X136" i="8"/>
  <c r="W136" i="8"/>
  <c r="V136" i="8"/>
  <c r="X135" i="8"/>
  <c r="W135" i="8"/>
  <c r="V135" i="8"/>
  <c r="X134" i="8"/>
  <c r="W134" i="8"/>
  <c r="V134" i="8"/>
  <c r="X133" i="8"/>
  <c r="W133" i="8"/>
  <c r="V133" i="8"/>
  <c r="X132" i="8"/>
  <c r="W132" i="8"/>
  <c r="V132" i="8"/>
  <c r="X131" i="8"/>
  <c r="W131" i="8"/>
  <c r="V131" i="8"/>
  <c r="X130" i="8"/>
  <c r="W130" i="8"/>
  <c r="V130" i="8"/>
  <c r="X129" i="8"/>
  <c r="W129" i="8"/>
  <c r="V129" i="8"/>
  <c r="X128" i="8"/>
  <c r="W128" i="8"/>
  <c r="V128" i="8"/>
  <c r="X127" i="8"/>
  <c r="W127" i="8"/>
  <c r="V127" i="8"/>
  <c r="X126" i="8"/>
  <c r="W126" i="8"/>
  <c r="V126" i="8"/>
  <c r="X125" i="8"/>
  <c r="W125" i="8"/>
  <c r="V125" i="8"/>
  <c r="X124" i="8"/>
  <c r="W124" i="8"/>
  <c r="V124" i="8"/>
  <c r="X123" i="8"/>
  <c r="W123" i="8"/>
  <c r="V123" i="8"/>
  <c r="X122" i="8"/>
  <c r="W122" i="8"/>
  <c r="V122" i="8"/>
  <c r="X121" i="8"/>
  <c r="W121" i="8"/>
  <c r="V121" i="8"/>
  <c r="X120" i="8"/>
  <c r="W120" i="8"/>
  <c r="V120" i="8"/>
  <c r="X119" i="8"/>
  <c r="W119" i="8"/>
  <c r="V119" i="8"/>
  <c r="X118" i="8"/>
  <c r="W118" i="8"/>
  <c r="V118" i="8"/>
  <c r="X117" i="8"/>
  <c r="W117" i="8"/>
  <c r="V117" i="8"/>
  <c r="X116" i="8"/>
  <c r="W116" i="8"/>
  <c r="V116" i="8"/>
  <c r="X115" i="8"/>
  <c r="W115" i="8"/>
  <c r="V115" i="8"/>
  <c r="X114" i="8"/>
  <c r="W114" i="8"/>
  <c r="V114" i="8"/>
  <c r="X113" i="8"/>
  <c r="W113" i="8"/>
  <c r="V113" i="8"/>
  <c r="X112" i="8"/>
  <c r="W112" i="8"/>
  <c r="V112" i="8"/>
  <c r="X111" i="8"/>
  <c r="W111" i="8"/>
  <c r="V111" i="8"/>
  <c r="X110" i="8"/>
  <c r="W110" i="8"/>
  <c r="V110" i="8"/>
  <c r="X109" i="8"/>
  <c r="W109" i="8"/>
  <c r="V109" i="8"/>
  <c r="X108" i="8"/>
  <c r="W108" i="8"/>
  <c r="V108" i="8"/>
  <c r="X107" i="8"/>
  <c r="W107" i="8"/>
  <c r="V107" i="8"/>
  <c r="X106" i="8"/>
  <c r="W106" i="8"/>
  <c r="V106" i="8"/>
  <c r="X105" i="8"/>
  <c r="W105" i="8"/>
  <c r="V105" i="8"/>
  <c r="X104" i="8"/>
  <c r="W104" i="8"/>
  <c r="V104" i="8"/>
  <c r="X103" i="8"/>
  <c r="W103" i="8"/>
  <c r="V103" i="8"/>
  <c r="X102" i="8"/>
  <c r="W102" i="8"/>
  <c r="V102" i="8"/>
  <c r="X101" i="8"/>
  <c r="W101" i="8"/>
  <c r="V101" i="8"/>
  <c r="X100" i="8"/>
  <c r="W100" i="8"/>
  <c r="V100" i="8"/>
  <c r="X99" i="8"/>
  <c r="W99" i="8"/>
  <c r="V99" i="8"/>
  <c r="X98" i="8"/>
  <c r="W98" i="8"/>
  <c r="V98" i="8"/>
  <c r="X97" i="8"/>
  <c r="W97" i="8"/>
  <c r="V97" i="8"/>
  <c r="X96" i="8"/>
  <c r="W96" i="8"/>
  <c r="V96" i="8"/>
  <c r="X95" i="8"/>
  <c r="W95" i="8"/>
  <c r="V95" i="8"/>
  <c r="X94" i="8"/>
  <c r="W94" i="8"/>
  <c r="V94" i="8"/>
  <c r="X93" i="8"/>
  <c r="W93" i="8"/>
  <c r="V93" i="8"/>
  <c r="X92" i="8"/>
  <c r="W92" i="8"/>
  <c r="V92" i="8"/>
  <c r="X91" i="8"/>
  <c r="W91" i="8"/>
  <c r="V91" i="8"/>
  <c r="X90" i="8"/>
  <c r="W90" i="8"/>
  <c r="V90" i="8"/>
  <c r="X89" i="8"/>
  <c r="W89" i="8"/>
  <c r="V89" i="8"/>
  <c r="X88" i="8"/>
  <c r="W88" i="8"/>
  <c r="V88" i="8"/>
  <c r="X87" i="8"/>
  <c r="W87" i="8"/>
  <c r="V87" i="8"/>
  <c r="X86" i="8"/>
  <c r="W86" i="8"/>
  <c r="V86" i="8"/>
  <c r="X85" i="8"/>
  <c r="W85" i="8"/>
  <c r="V85" i="8"/>
  <c r="X84" i="8"/>
  <c r="W84" i="8"/>
  <c r="V84" i="8"/>
  <c r="X83" i="8"/>
  <c r="W83" i="8"/>
  <c r="V83" i="8"/>
  <c r="X82" i="8"/>
  <c r="W82" i="8"/>
  <c r="V82" i="8"/>
  <c r="X81" i="8"/>
  <c r="W81" i="8"/>
  <c r="V81" i="8"/>
  <c r="X80" i="8"/>
  <c r="W80" i="8"/>
  <c r="V80" i="8"/>
  <c r="X79" i="8"/>
  <c r="W79" i="8"/>
  <c r="V79" i="8"/>
  <c r="X78" i="8"/>
  <c r="W78" i="8"/>
  <c r="V78" i="8"/>
  <c r="X77" i="8"/>
  <c r="W77" i="8"/>
  <c r="V77" i="8"/>
  <c r="X76" i="8"/>
  <c r="W76" i="8"/>
  <c r="V76" i="8"/>
  <c r="X75" i="8"/>
  <c r="W75" i="8"/>
  <c r="V75" i="8"/>
  <c r="X74" i="8"/>
  <c r="W74" i="8"/>
  <c r="V74" i="8"/>
  <c r="X73" i="8"/>
  <c r="W73" i="8"/>
  <c r="V73" i="8"/>
  <c r="X72" i="8"/>
  <c r="W72" i="8"/>
  <c r="V72" i="8"/>
  <c r="X71" i="8"/>
  <c r="W71" i="8"/>
  <c r="V71" i="8"/>
  <c r="X70" i="8"/>
  <c r="W70" i="8"/>
  <c r="V70" i="8"/>
  <c r="X69" i="8"/>
  <c r="W69" i="8"/>
  <c r="V69" i="8"/>
  <c r="X68" i="8"/>
  <c r="W68" i="8"/>
  <c r="V68" i="8"/>
  <c r="X67" i="8"/>
  <c r="W67" i="8"/>
  <c r="V67" i="8"/>
  <c r="X66" i="8"/>
  <c r="W66" i="8"/>
  <c r="V66" i="8"/>
  <c r="X65" i="8"/>
  <c r="W65" i="8"/>
  <c r="V65" i="8"/>
  <c r="X64" i="8"/>
  <c r="W64" i="8"/>
  <c r="V64" i="8"/>
  <c r="X63" i="8"/>
  <c r="W63" i="8"/>
  <c r="V63" i="8"/>
  <c r="X62" i="8"/>
  <c r="W62" i="8"/>
  <c r="V62" i="8"/>
  <c r="X61" i="8"/>
  <c r="W61" i="8"/>
  <c r="V61" i="8"/>
  <c r="X60" i="8"/>
  <c r="W60" i="8"/>
  <c r="V60" i="8"/>
  <c r="X59" i="8"/>
  <c r="W59" i="8"/>
  <c r="V59" i="8"/>
  <c r="X58" i="8"/>
  <c r="W58" i="8"/>
  <c r="V58" i="8"/>
  <c r="X57" i="8"/>
  <c r="W57" i="8"/>
  <c r="V57" i="8"/>
  <c r="X56" i="8"/>
  <c r="W56" i="8"/>
  <c r="V56" i="8"/>
  <c r="X55" i="8"/>
  <c r="W55" i="8"/>
  <c r="V55" i="8"/>
  <c r="X54" i="8"/>
  <c r="W54" i="8"/>
  <c r="V54" i="8"/>
  <c r="X53" i="8"/>
  <c r="W53" i="8"/>
  <c r="V53" i="8"/>
  <c r="X52" i="8"/>
  <c r="W52" i="8"/>
  <c r="V52" i="8"/>
  <c r="X51" i="8"/>
  <c r="W51" i="8"/>
  <c r="V51" i="8"/>
  <c r="X50" i="8"/>
  <c r="W50" i="8"/>
  <c r="V50" i="8"/>
  <c r="X49" i="8"/>
  <c r="W49" i="8"/>
  <c r="V49" i="8"/>
  <c r="X48" i="8"/>
  <c r="W48" i="8"/>
  <c r="V48" i="8"/>
  <c r="X47" i="8"/>
  <c r="W47" i="8"/>
  <c r="V47" i="8"/>
  <c r="X46" i="8"/>
  <c r="W46" i="8"/>
  <c r="V46" i="8"/>
  <c r="X45" i="8"/>
  <c r="W45" i="8"/>
  <c r="V45" i="8"/>
  <c r="X44" i="8"/>
  <c r="W44" i="8"/>
  <c r="V44" i="8"/>
  <c r="X43" i="8"/>
  <c r="W43" i="8"/>
  <c r="V43" i="8"/>
  <c r="X42" i="8"/>
  <c r="W42" i="8"/>
  <c r="V42" i="8"/>
  <c r="X41" i="8"/>
  <c r="W41" i="8"/>
  <c r="V41" i="8"/>
  <c r="X40" i="8"/>
  <c r="W40" i="8"/>
  <c r="V40" i="8"/>
  <c r="X39" i="8"/>
  <c r="W39" i="8"/>
  <c r="V39" i="8"/>
  <c r="X38" i="8"/>
  <c r="W38" i="8"/>
  <c r="V38" i="8"/>
  <c r="X37" i="8"/>
  <c r="W37" i="8"/>
  <c r="V37" i="8"/>
  <c r="X36" i="8"/>
  <c r="W36" i="8"/>
  <c r="V36" i="8"/>
  <c r="X35" i="8"/>
  <c r="W35" i="8"/>
  <c r="V35" i="8"/>
  <c r="X34" i="8"/>
  <c r="W34" i="8"/>
  <c r="V34" i="8"/>
  <c r="X33" i="8"/>
  <c r="W33" i="8"/>
  <c r="V33" i="8"/>
  <c r="X32" i="8"/>
  <c r="W32" i="8"/>
  <c r="V32" i="8"/>
  <c r="X31" i="8"/>
  <c r="W31" i="8"/>
  <c r="V31" i="8"/>
  <c r="X30" i="8"/>
  <c r="W30" i="8"/>
  <c r="V30" i="8"/>
  <c r="X29" i="8"/>
  <c r="W29" i="8"/>
  <c r="V29" i="8"/>
  <c r="X28" i="8"/>
  <c r="W28" i="8"/>
  <c r="V28" i="8"/>
  <c r="X27" i="8"/>
  <c r="W27" i="8"/>
  <c r="V27" i="8"/>
  <c r="X26" i="8"/>
  <c r="W26" i="8"/>
  <c r="V26" i="8"/>
  <c r="X25" i="8"/>
  <c r="W25" i="8"/>
  <c r="V25" i="8"/>
  <c r="X24" i="8"/>
  <c r="W24" i="8"/>
  <c r="V24" i="8"/>
  <c r="X23" i="8"/>
  <c r="W23" i="8"/>
  <c r="V23" i="8"/>
  <c r="X22" i="8"/>
  <c r="W22" i="8"/>
  <c r="V22" i="8"/>
  <c r="X21" i="8"/>
  <c r="W21" i="8"/>
  <c r="V21" i="8"/>
  <c r="X20" i="8"/>
  <c r="W20" i="8"/>
  <c r="V20" i="8"/>
  <c r="X19" i="8"/>
  <c r="W19" i="8"/>
  <c r="V19" i="8"/>
  <c r="X18" i="8"/>
  <c r="W18" i="8"/>
  <c r="V18" i="8"/>
  <c r="X17" i="8"/>
  <c r="W17" i="8"/>
  <c r="V17" i="8"/>
  <c r="X16" i="8"/>
  <c r="W16" i="8"/>
  <c r="V16" i="8"/>
  <c r="X15" i="8"/>
  <c r="W15" i="8"/>
  <c r="V15" i="8"/>
  <c r="X14" i="8"/>
  <c r="W14" i="8"/>
  <c r="V14" i="8"/>
  <c r="X13" i="8"/>
  <c r="W13" i="8"/>
  <c r="V13" i="8"/>
  <c r="X12" i="8"/>
  <c r="W12" i="8"/>
  <c r="V12" i="8"/>
  <c r="X11" i="8"/>
  <c r="W11" i="8"/>
  <c r="V11" i="8"/>
  <c r="X10" i="8"/>
  <c r="W10" i="8"/>
  <c r="V10" i="8"/>
  <c r="X9" i="8"/>
  <c r="W9" i="8"/>
  <c r="V9" i="8"/>
  <c r="X8" i="8"/>
  <c r="W8" i="8"/>
  <c r="V8" i="8"/>
  <c r="X7" i="8"/>
  <c r="W7" i="8"/>
  <c r="V7" i="8"/>
  <c r="X6" i="8"/>
  <c r="W6" i="8"/>
  <c r="V6" i="8"/>
  <c r="X5" i="8"/>
  <c r="W5" i="8"/>
  <c r="V5" i="8"/>
  <c r="X4" i="8"/>
  <c r="W4" i="8"/>
  <c r="V4" i="8"/>
  <c r="X3" i="8"/>
  <c r="W3" i="8"/>
  <c r="V3" i="8"/>
  <c r="X2" i="8"/>
  <c r="W2" i="8"/>
  <c r="T144" i="8"/>
  <c r="S144" i="8"/>
  <c r="R144" i="8"/>
  <c r="T143" i="8"/>
  <c r="S143" i="8"/>
  <c r="R143" i="8"/>
  <c r="T142" i="8"/>
  <c r="S142" i="8"/>
  <c r="R142" i="8"/>
  <c r="T141" i="8"/>
  <c r="S141" i="8"/>
  <c r="R141" i="8"/>
  <c r="T140" i="8"/>
  <c r="S140" i="8"/>
  <c r="R140" i="8"/>
  <c r="T139" i="8"/>
  <c r="S139" i="8"/>
  <c r="R139" i="8"/>
  <c r="T138" i="8"/>
  <c r="S138" i="8"/>
  <c r="R138" i="8"/>
  <c r="T137" i="8"/>
  <c r="S137" i="8"/>
  <c r="R137" i="8"/>
  <c r="T136" i="8"/>
  <c r="S136" i="8"/>
  <c r="R136" i="8"/>
  <c r="T135" i="8"/>
  <c r="S135" i="8"/>
  <c r="R135" i="8"/>
  <c r="T134" i="8"/>
  <c r="S134" i="8"/>
  <c r="R134" i="8"/>
  <c r="T133" i="8"/>
  <c r="S133" i="8"/>
  <c r="R133" i="8"/>
  <c r="T132" i="8"/>
  <c r="S132" i="8"/>
  <c r="R132" i="8"/>
  <c r="T131" i="8"/>
  <c r="S131" i="8"/>
  <c r="R131" i="8"/>
  <c r="T130" i="8"/>
  <c r="S130" i="8"/>
  <c r="R130" i="8"/>
  <c r="T129" i="8"/>
  <c r="S129" i="8"/>
  <c r="R129" i="8"/>
  <c r="T128" i="8"/>
  <c r="S128" i="8"/>
  <c r="R128" i="8"/>
  <c r="T127" i="8"/>
  <c r="S127" i="8"/>
  <c r="R127" i="8"/>
  <c r="T126" i="8"/>
  <c r="S126" i="8"/>
  <c r="R126" i="8"/>
  <c r="T125" i="8"/>
  <c r="S125" i="8"/>
  <c r="R125" i="8"/>
  <c r="T124" i="8"/>
  <c r="S124" i="8"/>
  <c r="R124" i="8"/>
  <c r="T123" i="8"/>
  <c r="S123" i="8"/>
  <c r="R123" i="8"/>
  <c r="T122" i="8"/>
  <c r="S122" i="8"/>
  <c r="R122" i="8"/>
  <c r="T121" i="8"/>
  <c r="S121" i="8"/>
  <c r="R121" i="8"/>
  <c r="T120" i="8"/>
  <c r="S120" i="8"/>
  <c r="R120" i="8"/>
  <c r="T119" i="8"/>
  <c r="S119" i="8"/>
  <c r="R119" i="8"/>
  <c r="T118" i="8"/>
  <c r="S118" i="8"/>
  <c r="R118" i="8"/>
  <c r="T117" i="8"/>
  <c r="S117" i="8"/>
  <c r="R117" i="8"/>
  <c r="T116" i="8"/>
  <c r="S116" i="8"/>
  <c r="R116" i="8"/>
  <c r="T115" i="8"/>
  <c r="S115" i="8"/>
  <c r="R115" i="8"/>
  <c r="T114" i="8"/>
  <c r="S114" i="8"/>
  <c r="R114" i="8"/>
  <c r="T113" i="8"/>
  <c r="S113" i="8"/>
  <c r="R113" i="8"/>
  <c r="T112" i="8"/>
  <c r="S112" i="8"/>
  <c r="R112" i="8"/>
  <c r="T111" i="8"/>
  <c r="S111" i="8"/>
  <c r="R111" i="8"/>
  <c r="T110" i="8"/>
  <c r="S110" i="8"/>
  <c r="R110" i="8"/>
  <c r="T109" i="8"/>
  <c r="S109" i="8"/>
  <c r="R109" i="8"/>
  <c r="T108" i="8"/>
  <c r="S108" i="8"/>
  <c r="R108" i="8"/>
  <c r="T107" i="8"/>
  <c r="S107" i="8"/>
  <c r="R107" i="8"/>
  <c r="T106" i="8"/>
  <c r="S106" i="8"/>
  <c r="R106" i="8"/>
  <c r="T105" i="8"/>
  <c r="S105" i="8"/>
  <c r="R105" i="8"/>
  <c r="T104" i="8"/>
  <c r="S104" i="8"/>
  <c r="R104" i="8"/>
  <c r="T103" i="8"/>
  <c r="S103" i="8"/>
  <c r="R103" i="8"/>
  <c r="T102" i="8"/>
  <c r="S102" i="8"/>
  <c r="R102" i="8"/>
  <c r="T101" i="8"/>
  <c r="S101" i="8"/>
  <c r="R101" i="8"/>
  <c r="T100" i="8"/>
  <c r="S100" i="8"/>
  <c r="R100" i="8"/>
  <c r="T99" i="8"/>
  <c r="S99" i="8"/>
  <c r="R99" i="8"/>
  <c r="T98" i="8"/>
  <c r="S98" i="8"/>
  <c r="R98" i="8"/>
  <c r="T97" i="8"/>
  <c r="S97" i="8"/>
  <c r="R97" i="8"/>
  <c r="T96" i="8"/>
  <c r="S96" i="8"/>
  <c r="R96" i="8"/>
  <c r="T95" i="8"/>
  <c r="S95" i="8"/>
  <c r="R95" i="8"/>
  <c r="T94" i="8"/>
  <c r="S94" i="8"/>
  <c r="R94" i="8"/>
  <c r="T93" i="8"/>
  <c r="S93" i="8"/>
  <c r="R93" i="8"/>
  <c r="T92" i="8"/>
  <c r="S92" i="8"/>
  <c r="R92" i="8"/>
  <c r="T91" i="8"/>
  <c r="S91" i="8"/>
  <c r="R91" i="8"/>
  <c r="T90" i="8"/>
  <c r="S90" i="8"/>
  <c r="R90" i="8"/>
  <c r="T89" i="8"/>
  <c r="S89" i="8"/>
  <c r="R89" i="8"/>
  <c r="T88" i="8"/>
  <c r="S88" i="8"/>
  <c r="R88" i="8"/>
  <c r="T87" i="8"/>
  <c r="S87" i="8"/>
  <c r="R87" i="8"/>
  <c r="T86" i="8"/>
  <c r="S86" i="8"/>
  <c r="R86" i="8"/>
  <c r="T85" i="8"/>
  <c r="S85" i="8"/>
  <c r="R85" i="8"/>
  <c r="T84" i="8"/>
  <c r="S84" i="8"/>
  <c r="R84" i="8"/>
  <c r="T83" i="8"/>
  <c r="S83" i="8"/>
  <c r="R83" i="8"/>
  <c r="T82" i="8"/>
  <c r="S82" i="8"/>
  <c r="R82" i="8"/>
  <c r="T81" i="8"/>
  <c r="S81" i="8"/>
  <c r="R81" i="8"/>
  <c r="T80" i="8"/>
  <c r="S80" i="8"/>
  <c r="R80" i="8"/>
  <c r="T79" i="8"/>
  <c r="S79" i="8"/>
  <c r="R79" i="8"/>
  <c r="T78" i="8"/>
  <c r="S78" i="8"/>
  <c r="R78" i="8"/>
  <c r="T77" i="8"/>
  <c r="S77" i="8"/>
  <c r="R77" i="8"/>
  <c r="T76" i="8"/>
  <c r="S76" i="8"/>
  <c r="R76" i="8"/>
  <c r="T75" i="8"/>
  <c r="S75" i="8"/>
  <c r="R75" i="8"/>
  <c r="T74" i="8"/>
  <c r="S74" i="8"/>
  <c r="R74" i="8"/>
  <c r="T73" i="8"/>
  <c r="S73" i="8"/>
  <c r="R73" i="8"/>
  <c r="T72" i="8"/>
  <c r="S72" i="8"/>
  <c r="R72" i="8"/>
  <c r="T71" i="8"/>
  <c r="S71" i="8"/>
  <c r="R71" i="8"/>
  <c r="T70" i="8"/>
  <c r="S70" i="8"/>
  <c r="R70" i="8"/>
  <c r="T69" i="8"/>
  <c r="S69" i="8"/>
  <c r="R69" i="8"/>
  <c r="T68" i="8"/>
  <c r="S68" i="8"/>
  <c r="R68" i="8"/>
  <c r="T67" i="8"/>
  <c r="S67" i="8"/>
  <c r="R67" i="8"/>
  <c r="T66" i="8"/>
  <c r="S66" i="8"/>
  <c r="R66" i="8"/>
  <c r="T65" i="8"/>
  <c r="S65" i="8"/>
  <c r="R65" i="8"/>
  <c r="T64" i="8"/>
  <c r="S64" i="8"/>
  <c r="R64" i="8"/>
  <c r="T63" i="8"/>
  <c r="S63" i="8"/>
  <c r="R63" i="8"/>
  <c r="T62" i="8"/>
  <c r="S62" i="8"/>
  <c r="R62" i="8"/>
  <c r="T61" i="8"/>
  <c r="S61" i="8"/>
  <c r="R61" i="8"/>
  <c r="T60" i="8"/>
  <c r="S60" i="8"/>
  <c r="R60" i="8"/>
  <c r="T59" i="8"/>
  <c r="S59" i="8"/>
  <c r="R59" i="8"/>
  <c r="T58" i="8"/>
  <c r="S58" i="8"/>
  <c r="R58" i="8"/>
  <c r="T57" i="8"/>
  <c r="S57" i="8"/>
  <c r="R57" i="8"/>
  <c r="T56" i="8"/>
  <c r="S56" i="8"/>
  <c r="R56" i="8"/>
  <c r="T55" i="8"/>
  <c r="S55" i="8"/>
  <c r="R55" i="8"/>
  <c r="T54" i="8"/>
  <c r="S54" i="8"/>
  <c r="R54" i="8"/>
  <c r="T53" i="8"/>
  <c r="S53" i="8"/>
  <c r="R53" i="8"/>
  <c r="T52" i="8"/>
  <c r="S52" i="8"/>
  <c r="R52" i="8"/>
  <c r="T51" i="8"/>
  <c r="S51" i="8"/>
  <c r="R51" i="8"/>
  <c r="T50" i="8"/>
  <c r="S50" i="8"/>
  <c r="R50" i="8"/>
  <c r="T49" i="8"/>
  <c r="S49" i="8"/>
  <c r="R49" i="8"/>
  <c r="T48" i="8"/>
  <c r="S48" i="8"/>
  <c r="R48" i="8"/>
  <c r="T47" i="8"/>
  <c r="S47" i="8"/>
  <c r="R47" i="8"/>
  <c r="T46" i="8"/>
  <c r="S46" i="8"/>
  <c r="R46" i="8"/>
  <c r="T45" i="8"/>
  <c r="S45" i="8"/>
  <c r="R45" i="8"/>
  <c r="T44" i="8"/>
  <c r="S44" i="8"/>
  <c r="R44" i="8"/>
  <c r="T43" i="8"/>
  <c r="S43" i="8"/>
  <c r="R43" i="8"/>
  <c r="T42" i="8"/>
  <c r="S42" i="8"/>
  <c r="R42" i="8"/>
  <c r="T41" i="8"/>
  <c r="S41" i="8"/>
  <c r="R41" i="8"/>
  <c r="T40" i="8"/>
  <c r="S40" i="8"/>
  <c r="R40" i="8"/>
  <c r="T39" i="8"/>
  <c r="S39" i="8"/>
  <c r="R39" i="8"/>
  <c r="T38" i="8"/>
  <c r="S38" i="8"/>
  <c r="R38" i="8"/>
  <c r="T37" i="8"/>
  <c r="S37" i="8"/>
  <c r="R37" i="8"/>
  <c r="T36" i="8"/>
  <c r="S36" i="8"/>
  <c r="R36" i="8"/>
  <c r="T35" i="8"/>
  <c r="S35" i="8"/>
  <c r="R35" i="8"/>
  <c r="T34" i="8"/>
  <c r="S34" i="8"/>
  <c r="R34" i="8"/>
  <c r="T33" i="8"/>
  <c r="S33" i="8"/>
  <c r="R33" i="8"/>
  <c r="T32" i="8"/>
  <c r="S32" i="8"/>
  <c r="R32" i="8"/>
  <c r="T31" i="8"/>
  <c r="S31" i="8"/>
  <c r="R31" i="8"/>
  <c r="T30" i="8"/>
  <c r="S30" i="8"/>
  <c r="R30" i="8"/>
  <c r="T29" i="8"/>
  <c r="S29" i="8"/>
  <c r="R29" i="8"/>
  <c r="T28" i="8"/>
  <c r="S28" i="8"/>
  <c r="R28" i="8"/>
  <c r="T27" i="8"/>
  <c r="S27" i="8"/>
  <c r="R27" i="8"/>
  <c r="T26" i="8"/>
  <c r="S26" i="8"/>
  <c r="R26" i="8"/>
  <c r="T25" i="8"/>
  <c r="S25" i="8"/>
  <c r="R25" i="8"/>
  <c r="T24" i="8"/>
  <c r="S24" i="8"/>
  <c r="R24" i="8"/>
  <c r="T23" i="8"/>
  <c r="S23" i="8"/>
  <c r="R23" i="8"/>
  <c r="T22" i="8"/>
  <c r="S22" i="8"/>
  <c r="R22" i="8"/>
  <c r="T21" i="8"/>
  <c r="S21" i="8"/>
  <c r="R21" i="8"/>
  <c r="T20" i="8"/>
  <c r="S20" i="8"/>
  <c r="R20" i="8"/>
  <c r="T19" i="8"/>
  <c r="S19" i="8"/>
  <c r="R19" i="8"/>
  <c r="T18" i="8"/>
  <c r="S18" i="8"/>
  <c r="R18" i="8"/>
  <c r="T17" i="8"/>
  <c r="S17" i="8"/>
  <c r="R17" i="8"/>
  <c r="T16" i="8"/>
  <c r="S16" i="8"/>
  <c r="R16" i="8"/>
  <c r="T15" i="8"/>
  <c r="S15" i="8"/>
  <c r="R15" i="8"/>
  <c r="T14" i="8"/>
  <c r="S14" i="8"/>
  <c r="R14" i="8"/>
  <c r="T13" i="8"/>
  <c r="S13" i="8"/>
  <c r="R13" i="8"/>
  <c r="T12" i="8"/>
  <c r="S12" i="8"/>
  <c r="R12" i="8"/>
  <c r="T11" i="8"/>
  <c r="S11" i="8"/>
  <c r="R11" i="8"/>
  <c r="T10" i="8"/>
  <c r="S10" i="8"/>
  <c r="R10" i="8"/>
  <c r="T9" i="8"/>
  <c r="S9" i="8"/>
  <c r="R9" i="8"/>
  <c r="T8" i="8"/>
  <c r="S8" i="8"/>
  <c r="R8" i="8"/>
  <c r="T7" i="8"/>
  <c r="S7" i="8"/>
  <c r="R7" i="8"/>
  <c r="T6" i="8"/>
  <c r="S6" i="8"/>
  <c r="R6" i="8"/>
  <c r="T5" i="8"/>
  <c r="S5" i="8"/>
  <c r="R5" i="8"/>
  <c r="T4" i="8"/>
  <c r="S4" i="8"/>
  <c r="R4" i="8"/>
  <c r="T3" i="8"/>
  <c r="S3" i="8"/>
  <c r="R3" i="8"/>
  <c r="T2" i="8"/>
  <c r="S2" i="8"/>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<sst xmlns="http://schemas.openxmlformats.org/spreadsheetml/2006/main" count="515" uniqueCount="199">
  <si>
    <t>Finland</t>
  </si>
  <si>
    <t>Denmark</t>
  </si>
  <si>
    <t>Iceland</t>
  </si>
  <si>
    <t>Netherlands</t>
  </si>
  <si>
    <t>Sweden</t>
  </si>
  <si>
    <t>Norway</t>
  </si>
  <si>
    <t>Switzerland</t>
  </si>
  <si>
    <t>Luxembourg</t>
  </si>
  <si>
    <t>New Zealand</t>
  </si>
  <si>
    <t>Austria</t>
  </si>
  <si>
    <t>Australia</t>
  </si>
  <si>
    <t>Canada</t>
  </si>
  <si>
    <t>Ireland</t>
  </si>
  <si>
    <t>United States</t>
  </si>
  <si>
    <t>Germany</t>
  </si>
  <si>
    <t>Belgium</t>
  </si>
  <si>
    <t>United Kingdom</t>
  </si>
  <si>
    <t>Lithuania</t>
  </si>
  <si>
    <t>France</t>
  </si>
  <si>
    <t>Slovenia</t>
  </si>
  <si>
    <t>Costa Rica</t>
  </si>
  <si>
    <t>Romania</t>
  </si>
  <si>
    <t>Singapore</t>
  </si>
  <si>
    <t>United Arab Emirates</t>
  </si>
  <si>
    <t>Uruguay</t>
  </si>
  <si>
    <t>Slovakia</t>
  </si>
  <si>
    <t>Saudi Arabia</t>
  </si>
  <si>
    <t>Estonia</t>
  </si>
  <si>
    <t>Spain</t>
  </si>
  <si>
    <t>Italy</t>
  </si>
  <si>
    <t>Kosovo</t>
  </si>
  <si>
    <t>Chile</t>
  </si>
  <si>
    <t>Mexico</t>
  </si>
  <si>
    <t>Malta</t>
  </si>
  <si>
    <t>Panama</t>
  </si>
  <si>
    <t>Poland</t>
  </si>
  <si>
    <t>Nicaragua</t>
  </si>
  <si>
    <t>Latvia</t>
  </si>
  <si>
    <t>Bahrain</t>
  </si>
  <si>
    <t>Guatemala</t>
  </si>
  <si>
    <t>Kazakhstan</t>
  </si>
  <si>
    <t>Serbia</t>
  </si>
  <si>
    <t>Cyprus</t>
  </si>
  <si>
    <t>Japan</t>
  </si>
  <si>
    <t>Croatia</t>
  </si>
  <si>
    <t>Brazil</t>
  </si>
  <si>
    <t>El Salvador</t>
  </si>
  <si>
    <t>Hungary</t>
  </si>
  <si>
    <t>Argentina</t>
  </si>
  <si>
    <t>Honduras</t>
  </si>
  <si>
    <t>Uzbekistan</t>
  </si>
  <si>
    <t>Malaysia</t>
  </si>
  <si>
    <t>Portugal</t>
  </si>
  <si>
    <t>South Korea</t>
  </si>
  <si>
    <t>Greece</t>
  </si>
  <si>
    <t>Mauritius</t>
  </si>
  <si>
    <t>Thailand</t>
  </si>
  <si>
    <t>Mongolia</t>
  </si>
  <si>
    <t>Kyrgyzstan</t>
  </si>
  <si>
    <t>Moldova</t>
  </si>
  <si>
    <t>China</t>
  </si>
  <si>
    <t>Vietnam</t>
  </si>
  <si>
    <t>Paraguay</t>
  </si>
  <si>
    <t>Montenegro</t>
  </si>
  <si>
    <t>Jamaica</t>
  </si>
  <si>
    <t>Bolivia</t>
  </si>
  <si>
    <t>Russia</t>
  </si>
  <si>
    <t>Bosnia and Herzegovina</t>
  </si>
  <si>
    <t>Colombia</t>
  </si>
  <si>
    <t>Dominican Republic</t>
  </si>
  <si>
    <t>Ecuador</t>
  </si>
  <si>
    <t>Peru</t>
  </si>
  <si>
    <t>Philippines</t>
  </si>
  <si>
    <t>Bulgaria</t>
  </si>
  <si>
    <t>Nepal</t>
  </si>
  <si>
    <t>Armenia</t>
  </si>
  <si>
    <t>Tajikistan</t>
  </si>
  <si>
    <t>Algeria</t>
  </si>
  <si>
    <t>Albania</t>
  </si>
  <si>
    <t>Indonesia</t>
  </si>
  <si>
    <t>South Africa</t>
  </si>
  <si>
    <t>North Macedonia</t>
  </si>
  <si>
    <t>Venezuela</t>
  </si>
  <si>
    <t>Laos</t>
  </si>
  <si>
    <t>Georgia</t>
  </si>
  <si>
    <t>Guinea</t>
  </si>
  <si>
    <t>Ukraine</t>
  </si>
  <si>
    <t>Ivory Coast</t>
  </si>
  <si>
    <t>Gabon</t>
  </si>
  <si>
    <t>Nigeria</t>
  </si>
  <si>
    <t>Cameroon</t>
  </si>
  <si>
    <t>Mozambique</t>
  </si>
  <si>
    <t>Iraq</t>
  </si>
  <si>
    <t>Morocco</t>
  </si>
  <si>
    <t>Iran</t>
  </si>
  <si>
    <t>Senegal</t>
  </si>
  <si>
    <t>Mauritania</t>
  </si>
  <si>
    <t>Burkina Faso</t>
  </si>
  <si>
    <t>Namibia</t>
  </si>
  <si>
    <t>Ghana</t>
  </si>
  <si>
    <t>Pakistan</t>
  </si>
  <si>
    <t>Niger</t>
  </si>
  <si>
    <t>Tunisia</t>
  </si>
  <si>
    <t>Kenya</t>
  </si>
  <si>
    <t>Sri Lanka</t>
  </si>
  <si>
    <t>Uganda</t>
  </si>
  <si>
    <t>Chad</t>
  </si>
  <si>
    <t>Cambodia</t>
  </si>
  <si>
    <t>Benin</t>
  </si>
  <si>
    <t>Myanmar</t>
  </si>
  <si>
    <t>Bangladesh</t>
  </si>
  <si>
    <t>Mali</t>
  </si>
  <si>
    <t>Egypt</t>
  </si>
  <si>
    <t>Togo</t>
  </si>
  <si>
    <t>Jordan</t>
  </si>
  <si>
    <t>Ethiopia</t>
  </si>
  <si>
    <t>Liberia</t>
  </si>
  <si>
    <t>India</t>
  </si>
  <si>
    <t>Madagascar</t>
  </si>
  <si>
    <t>Zambia</t>
  </si>
  <si>
    <t>Tanzania</t>
  </si>
  <si>
    <t>Comoros</t>
  </si>
  <si>
    <t>Malawi</t>
  </si>
  <si>
    <t>Botswana</t>
  </si>
  <si>
    <t>Congo (Kinshasa)</t>
  </si>
  <si>
    <t>Zimbabwe</t>
  </si>
  <si>
    <t>Sierra Leone</t>
  </si>
  <si>
    <t>Lebanon</t>
  </si>
  <si>
    <t>Afghanistan</t>
  </si>
  <si>
    <t>Czechia</t>
  </si>
  <si>
    <t>Taiwan Province of China</t>
  </si>
  <si>
    <t>Congo (Brazzaville)</t>
  </si>
  <si>
    <t>Turkiye</t>
  </si>
  <si>
    <t>Gambia</t>
  </si>
  <si>
    <t>Kuwait</t>
  </si>
  <si>
    <t>Libya</t>
  </si>
  <si>
    <t>Azerbaijan</t>
  </si>
  <si>
    <t>Yemen</t>
  </si>
  <si>
    <t>Eswatini</t>
  </si>
  <si>
    <t>Lesotho</t>
  </si>
  <si>
    <t>Happiness Score</t>
  </si>
  <si>
    <t>Country</t>
  </si>
  <si>
    <t>Social Support</t>
  </si>
  <si>
    <t>Freedom</t>
  </si>
  <si>
    <t>Palestine</t>
  </si>
  <si>
    <t>Hong Kong</t>
  </si>
  <si>
    <t>Year</t>
  </si>
  <si>
    <t>GDP per Capita</t>
  </si>
  <si>
    <t>Healthy Life Expectancy</t>
  </si>
  <si>
    <t>Perceptions of Corruption</t>
  </si>
  <si>
    <t>Region</t>
  </si>
  <si>
    <t>Visible</t>
  </si>
  <si>
    <t>Western Europe</t>
  </si>
  <si>
    <t>North America &amp; ANZ</t>
  </si>
  <si>
    <t>Latin America &amp; Caribbean</t>
  </si>
  <si>
    <t>Middle East &amp; North Africa</t>
  </si>
  <si>
    <t>Central &amp; Eastern Europe</t>
  </si>
  <si>
    <t>Southeast Asia</t>
  </si>
  <si>
    <t>East Asia</t>
  </si>
  <si>
    <t>Commonwealth of Independent States</t>
  </si>
  <si>
    <t>Sub-Saharan Africa</t>
  </si>
  <si>
    <t>South Asia</t>
  </si>
  <si>
    <t>World Happiness Report 2025 KPIs</t>
  </si>
  <si>
    <t>Last updated: 2026-05-23</t>
  </si>
  <si>
    <t>Total Number of Countries</t>
  </si>
  <si>
    <t>Highest Happiness Score</t>
  </si>
  <si>
    <t>Lowest Happiness Score</t>
  </si>
  <si>
    <t>Average Happiness Score</t>
  </si>
  <si>
    <t>Highest GDP per Capita</t>
  </si>
  <si>
    <t>Average Healthy Life Expectancy</t>
  </si>
  <si>
    <t>Data Note</t>
  </si>
  <si>
    <t>Regions are analyst-assigned WHR-style groupings for dashboard slicing.</t>
  </si>
  <si>
    <t>Raw records: 143</t>
  </si>
  <si>
    <t>Unique countries: 142</t>
  </si>
  <si>
    <t>Duplicate countries retained in raw data: Norway</t>
  </si>
  <si>
    <t>Use slicers on Dashboard to filter all KPI and chart outputs.</t>
  </si>
  <si>
    <t>World Happiness Report 2025 Pivot Tables</t>
  </si>
  <si>
    <t>Slicer-aware summary tables</t>
  </si>
  <si>
    <t>Top 10 Happiest Countries</t>
  </si>
  <si>
    <t>Bottom 10 Happiest Countries</t>
  </si>
  <si>
    <t>Average GDP per Capita</t>
  </si>
  <si>
    <t>Country Count</t>
  </si>
  <si>
    <t>World Happiness Report 2025 Charts</t>
  </si>
  <si>
    <t>Dynamic visuals powered by slicer-aware source tables</t>
  </si>
  <si>
    <t>World Happiness Report 2025 Dashboard</t>
  </si>
  <si>
    <t>Interactive analysis | Last updated: 2026-05-23</t>
  </si>
  <si>
    <t>Use the Region and Country slicers to filter all KPI cards, summary tables, and charts.</t>
  </si>
  <si>
    <t>Total Countries</t>
  </si>
  <si>
    <t>Highest Happiness</t>
  </si>
  <si>
    <t>Lowest Happiness</t>
  </si>
  <si>
    <t>Average Happiness</t>
  </si>
  <si>
    <t>Highest GDP / Capita</t>
  </si>
  <si>
    <t>Avg Healthy Life Exp.</t>
  </si>
  <si>
    <t>Decision note</t>
  </si>
  <si>
    <t>The dashboard is slicer-aware through the Data table Visible helper; raw records remain on Data.</t>
  </si>
  <si>
    <t>Column1</t>
  </si>
  <si>
    <t>GDP</t>
  </si>
  <si>
    <t>Health</t>
  </si>
  <si>
    <t>Corruption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</si>
</sst>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
  </numFmts>
  <fonts count="12" x14ac:knownFonts="1">
    <font>
      <sz val="10"/>
      <name val="Arial"/>
    </font>
    <font>
      <b/>
      <sz val="10"/>
      <color rgb="FFFFFFFF"/>
      <name val="Arial"/>
      <family val="2"/>
    </font>
    <font>
      <b/>
      <sz val="18"/>
      <color rgb="FFFFFFFF"/>
      <name val="Arial"/>
      <family val="2"/>
    </font>
    <font>
      <b/>
      <sz val="12"/>
      <color rgb="FFFFFFFF"/>
      <name val="Arial"/>
      <family val="2"/>
    </font>
    <font>
      <b/>
      <sz val="12"/>
      <name val="Arial"/>
      <family val="2"/>
    </font>
    <font>
      <b/>
      <sz val="10"/>
      <color rgb="FF17365D"/>
      <name val="Arial"/>
      <family val="2"/>
    </font>
    <font>
      <sz val="10"/>
      <color rgb="FF17365D"/>
      <name val="Arial"/>
      <family val="2"/>
    </font>
    <font>
      <i/>
      <sz val="10"/>
      <color rgb="FF17365D"/>
      <name val="Arial"/>
      <family val="2"/>
    </font>
    <font>
      <b/>
      <sz val="11"/>
      <color rgb="FF17365D"/>
      <name val="Arial"/>
      <family val="2"/>
    </font>
    <font>
      <b/>
      <sz val="22"/>
      <color rgb="FF17365D"/>
      <name val="Arial"/>
      <family val="2"/>
    </font>
    <font>
      <b/>
      <sz val="14"/>
      <name val="Arial"/>
      <family val="2"/>
    </font>
    <font>
      <sz val="12"/>
      <name val="Arial"/>
      <family val="2"/>
    </font>
  </fonts>
  <fills count="13">
    <fill>
      <patternFill patternType="none"/>
    </fill>
    <fill>
      <patternFill patternType="gray125"/>
    </fill>
    <fill>
      <patternFill patternType="solid">
        <fgColor rgb="FF17365D"/>
        <bgColor indexed="64"/>
      </patternFill>
    </fill>
    <fill>
      <patternFill patternType="solid">
        <fgColor rgb="FF1F4E79"/>
        <bgColor indexed="64"/>
      </patternFill>
    </fill>
    <fill>
      <patternFill patternType="solid">
        <fgColor rgb="FFF2F6FA"/>
        <bgColor indexed="64"/>
      </patternFill>
    </fill>
    <fill>
      <patternFill patternType="solid">
        <fgColor rgb="FFD9EAF7"/>
        <bgColor indexed="64"/>
      </patternFill>
    </fill>
    <fill>
      <patternFill patternType="solid">
        <fgColor rgb="FFF7FBFD"/>
        <bgColor indexed="64"/>
      </patternFill>
    </fill>
    <fill>
      <patternFill patternType="solid">
        <fgColor rgb="FFE2F0D9"/>
        <bgColor indexed="64"/>
      </patternFill>
    </fill>
    <fill>
      <patternFill patternType="solid">
        <fgColor rgb="FFFCE4D6"/>
        <bgColor indexed="64"/>
      </patternFill>
    </fill>
    <fill>
      <patternFill patternType="solid">
        <fgColor rgb="FFEAF3F8"/>
        <bgColor indexed="64"/>
      </patternFill>
    </fill>
    <fill>
      <patternFill patternType="solid">
        <fgColor theme="9"/>
        <bgColor indexed="64"/>
      </patternFill>
    </fill>
    <fill>
      <patternFill patternType="solid">
        <fgColor rgb="FFFFFF00"/>
        <bgColor indexed="64"/>
      </patternFill>
    </fill>
    <fill>
      <patternFill patternType="solid">
        <fgColor theme="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style="thin">
        <color rgb="FFFFFFFF"/>
      </top>
      <bottom/>
      <diagonal/>
    </border>
    <border>
      <left/>
      <right/>
      <top/>
      <bottom style="thin">
        <color rgb="FFFFFFFF"/>
      </bottom>
      <diagonal/>
    </border>
    <border>
      <left style="thin">
        <color rgb="FFFFFFFF"/>
      </left>
      <right/>
      <top style="thin">
        <color rgb="FFFFFFFF"/>
      </top>
      <bottom/>
      <diagonal/>
    </border>
    <border>
      <left style="thin">
        <color rgb="FFFFFFFF"/>
      </left>
      <right/>
      <top/>
      <bottom/>
      <diagonal/>
    </border>
    <border>
      <left style="thin">
        <color rgb="FFFFFFFF"/>
      </left>
      <right/>
      <top/>
      <bottom style="thin">
        <color rgb="FFFFFFFF"/>
      </bottom>
      <diagonal/>
    </border>
    <border>
      <left/>
      <right style="thin">
        <color rgb="FFFFFFFF"/>
      </right>
      <top style="thin">
        <color rgb="FFFFFFFF"/>
      </top>
      <bottom/>
      <diagonal/>
    </border>
    <border>
      <left/>
      <right style="thin">
        <color rgb="FFFFFFFF"/>
      </right>
      <top/>
      <bottom/>
      <diagonal/>
    </border>
    <border>
      <left/>
      <right style="thin">
        <color rgb="FFFFFFFF"/>
      </right>
      <top/>
      <bottom style="thin">
        <color rgb="FFFFFFFF"/>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59">
    <xf numFmtId="0" fontId="0" fillId="0" borderId="0" xfId="0"/>
    <xf numFmtId="164" fontId="0" fillId="0" borderId="0" xfId="0" applyNumberFormat="1"/>
    <xf numFmtId="1" fontId="0" fillId="0" borderId="0" xfId="0" applyNumberFormat="1"/>
    <xf numFmtId="0" fontId="2" fillId="2" borderId="0" xfId="0" applyFont="1" applyFill="1" applyAlignment="1">
      <alignment vertical="center"/>
    </xf>
    <xf numFmtId="0" fontId="5" fillId="5" borderId="0" xfId="0" applyFont="1" applyFill="1"/>
    <xf numFmtId="0" fontId="0" fillId="6" borderId="0" xfId="0" applyFill="1"/>
    <xf numFmtId="0" fontId="7" fillId="9" borderId="0" xfId="0" applyFont="1" applyFill="1"/>
    <xf numFmtId="0" fontId="6" fillId="9" borderId="0" xfId="0" applyFont="1" applyFill="1" applyAlignment="1">
      <alignment vertical="center"/>
    </xf>
    <xf numFmtId="0" fontId="6" fillId="9" borderId="3" xfId="0" applyFont="1" applyFill="1" applyBorder="1" applyAlignment="1">
      <alignment vertical="center"/>
    </xf>
    <xf numFmtId="0" fontId="6" fillId="9" borderId="5" xfId="0" applyFont="1" applyFill="1" applyBorder="1" applyAlignment="1">
      <alignment vertical="center"/>
    </xf>
    <xf numFmtId="0" fontId="6" fillId="9" borderId="6" xfId="0" applyFont="1" applyFill="1" applyBorder="1" applyAlignment="1">
      <alignment vertical="center"/>
    </xf>
    <xf numFmtId="0" fontId="6" fillId="9" borderId="8" xfId="0" applyFont="1" applyFill="1" applyBorder="1" applyAlignment="1">
      <alignment vertical="center"/>
    </xf>
    <xf numFmtId="0" fontId="6" fillId="9" borderId="9" xfId="0" applyFont="1" applyFill="1" applyBorder="1" applyAlignment="1">
      <alignment vertical="center"/>
    </xf>
    <xf numFmtId="1" fontId="9" fillId="9" borderId="5" xfId="0" applyNumberFormat="1" applyFont="1" applyFill="1" applyBorder="1" applyAlignment="1">
      <alignment vertical="center"/>
    </xf>
    <xf numFmtId="0" fontId="6" fillId="7" borderId="5" xfId="0" applyFont="1" applyFill="1" applyBorder="1" applyAlignment="1">
      <alignment vertical="center"/>
    </xf>
    <xf numFmtId="0" fontId="6" fillId="7" borderId="0" xfId="0" applyFont="1" applyFill="1" applyAlignment="1">
      <alignment vertical="center"/>
    </xf>
    <xf numFmtId="0" fontId="6" fillId="7" borderId="2" xfId="0" applyFont="1" applyFill="1" applyBorder="1" applyAlignment="1">
      <alignment vertical="center"/>
    </xf>
    <xf numFmtId="0" fontId="6" fillId="7" borderId="6" xfId="0" applyFont="1" applyFill="1" applyBorder="1" applyAlignment="1">
      <alignment vertical="center"/>
    </xf>
    <xf numFmtId="0" fontId="6" fillId="7" borderId="3" xfId="0" applyFont="1" applyFill="1" applyBorder="1" applyAlignment="1">
      <alignment vertical="center"/>
    </xf>
    <xf numFmtId="164" fontId="9" fillId="7" borderId="5" xfId="0" applyNumberFormat="1" applyFont="1" applyFill="1" applyBorder="1" applyAlignment="1">
      <alignment vertical="center"/>
    </xf>
    <xf numFmtId="0" fontId="6" fillId="8" borderId="5" xfId="0" applyFont="1" applyFill="1" applyBorder="1" applyAlignment="1">
      <alignment vertical="center"/>
    </xf>
    <xf numFmtId="0" fontId="6" fillId="8" borderId="0" xfId="0" applyFont="1" applyFill="1" applyAlignment="1">
      <alignment vertical="center"/>
    </xf>
    <xf numFmtId="0" fontId="6" fillId="8" borderId="6" xfId="0" applyFont="1" applyFill="1" applyBorder="1" applyAlignment="1">
      <alignment vertical="center"/>
    </xf>
    <xf numFmtId="0" fontId="6" fillId="8" borderId="3" xfId="0" applyFont="1" applyFill="1" applyBorder="1" applyAlignment="1">
      <alignment vertical="center"/>
    </xf>
    <xf numFmtId="164" fontId="9" fillId="8" borderId="5" xfId="0" applyNumberFormat="1" applyFont="1" applyFill="1" applyBorder="1" applyAlignment="1">
      <alignment vertical="center"/>
    </xf>
    <xf numFmtId="164" fontId="9" fillId="9" borderId="5" xfId="0" applyNumberFormat="1" applyFont="1" applyFill="1" applyBorder="1" applyAlignment="1">
      <alignment vertical="center"/>
    </xf>
    <xf numFmtId="0" fontId="5" fillId="6" borderId="0" xfId="0" applyFont="1" applyFill="1"/>
    <xf numFmtId="0" fontId="6" fillId="6" borderId="0" xfId="0" applyFont="1" applyFill="1"/>
    <xf numFmtId="0" fontId="1" fillId="3" borderId="1" xfId="0" applyFont="1" applyFill="1" applyBorder="1" applyAlignment="1">
      <alignment horizontal="center"/>
    </xf>
    <xf numFmtId="0" fontId="0" fillId="0" borderId="1" xfId="0" applyBorder="1"/>
    <xf numFmtId="164" fontId="11" fillId="0" borderId="1" xfId="0" applyNumberFormat="1" applyFont="1" applyBorder="1"/>
    <xf numFmtId="164" fontId="11" fillId="0" borderId="10" xfId="0" applyNumberFormat="1" applyFont="1" applyBorder="1"/>
    <xf numFmtId="0" fontId="11" fillId="0" borderId="12" xfId="0" applyFont="1" applyBorder="1"/>
    <xf numFmtId="164" fontId="11" fillId="0" borderId="13" xfId="0" applyNumberFormat="1" applyFont="1" applyBorder="1"/>
    <xf numFmtId="164" fontId="11" fillId="0" borderId="14" xfId="0" applyNumberFormat="1" applyFont="1" applyBorder="1"/>
    <xf numFmtId="0" fontId="11" fillId="0" borderId="15" xfId="0" applyFont="1" applyBorder="1"/>
    <xf numFmtId="164" fontId="10" fillId="10" borderId="10" xfId="0" applyNumberFormat="1" applyFont="1" applyFill="1" applyBorder="1" applyAlignment="1">
      <alignment horizontal="center"/>
    </xf>
    <xf numFmtId="164" fontId="10" fillId="10" borderId="1" xfId="0" applyNumberFormat="1" applyFont="1" applyFill="1" applyBorder="1" applyAlignment="1">
      <alignment horizontal="center"/>
    </xf>
    <xf numFmtId="164" fontId="10" fillId="10" borderId="11" xfId="0" applyNumberFormat="1" applyFont="1" applyFill="1" applyBorder="1" applyAlignment="1">
      <alignment horizontal="center"/>
    </xf>
    <xf numFmtId="0" fontId="0" fillId="7" borderId="1" xfId="0" applyFill="1" applyBorder="1"/>
    <xf numFmtId="164" fontId="0" fillId="7" borderId="1" xfId="0" applyNumberFormat="1" applyFill="1" applyBorder="1"/>
    <xf numFmtId="164" fontId="0" fillId="0" borderId="1" xfId="0" applyNumberFormat="1" applyBorder="1"/>
    <xf numFmtId="0" fontId="0" fillId="8" borderId="1" xfId="0" applyFill="1" applyBorder="1"/>
    <xf numFmtId="164" fontId="0" fillId="8" borderId="1" xfId="0" applyNumberFormat="1" applyFill="1" applyBorder="1"/>
    <xf numFmtId="1" fontId="0" fillId="0" borderId="1" xfId="0" applyNumberFormat="1" applyBorder="1"/>
    <xf numFmtId="0" fontId="3" fillId="3" borderId="1" xfId="0" applyFont="1" applyFill="1" applyBorder="1" applyAlignment="1">
      <alignment horizontal="center"/>
    </xf>
    <xf numFmtId="1" fontId="4" fillId="4" borderId="1" xfId="0" applyNumberFormat="1" applyFont="1" applyFill="1" applyBorder="1"/>
    <xf numFmtId="164" fontId="4" fillId="4" borderId="1" xfId="0" applyNumberFormat="1" applyFont="1" applyFill="1" applyBorder="1"/>
    <xf numFmtId="0" fontId="6" fillId="12" borderId="2" xfId="0" applyFont="1" applyFill="1" applyBorder="1" applyAlignment="1">
      <alignment vertical="center"/>
    </xf>
    <xf numFmtId="0" fontId="8" fillId="9" borderId="4" xfId="0" applyFont="1" applyFill="1" applyBorder="1" applyAlignment="1">
      <alignment horizontal="center" vertical="center"/>
    </xf>
    <xf numFmtId="0" fontId="5" fillId="11" borderId="1" xfId="0" applyFont="1" applyFill="1" applyBorder="1" applyAlignment="1">
      <alignment horizontal="center"/>
    </xf>
    <xf numFmtId="0" fontId="8" fillId="7" borderId="4" xfId="0" applyFont="1" applyFill="1" applyBorder="1" applyAlignment="1">
      <alignment horizontal="center" vertical="center"/>
    </xf>
    <xf numFmtId="0" fontId="8" fillId="7" borderId="2" xfId="0" applyFont="1" applyFill="1" applyBorder="1" applyAlignment="1">
      <alignment horizontal="center" vertical="center"/>
    </xf>
    <xf numFmtId="0" fontId="8" fillId="8" borderId="4" xfId="0" applyFont="1" applyFill="1" applyBorder="1" applyAlignment="1">
      <alignment horizontal="center" vertical="center"/>
    </xf>
    <xf numFmtId="0" fontId="8" fillId="8" borderId="2" xfId="0" applyFont="1" applyFill="1" applyBorder="1" applyAlignment="1">
      <alignment horizontal="center" vertical="center"/>
    </xf>
    <xf numFmtId="0" fontId="8" fillId="8" borderId="7" xfId="0" applyFont="1" applyFill="1" applyBorder="1" applyAlignment="1">
      <alignment horizontal="center" vertical="center"/>
    </xf>
    <xf numFmtId="0" fontId="8" fillId="9" borderId="4" xfId="0" applyFont="1" applyFill="1" applyBorder="1" applyAlignment="1">
      <alignment horizontal="center" vertical="center"/>
    </xf>
    <xf numFmtId="0" fontId="8" fillId="9" borderId="2" xfId="0" applyFont="1" applyFill="1" applyBorder="1" applyAlignment="1">
      <alignment horizontal="center" vertical="center"/>
    </xf>
    <xf numFmtId="0" fontId="8" fillId="9" borderId="7" xfId="0" applyFont="1" applyFill="1" applyBorder="1" applyAlignment="1">
      <alignment horizontal="center" vertical="center"/>
    </xf>
  </cellXfs>
  <cellStyles count="1">
    <cellStyle name="Normal" xfId="0" builtinId="0"/>
  </cellStyles>
  <dxfs count="17">
    <dxf>
      <font>
        <color rgb="FF9C0006"/>
      </font>
      <fill>
        <patternFill patternType="solid">
          <fgColor indexed="64"/>
          <bgColor rgb="FFF4CCCC"/>
        </patternFill>
      </fill>
    </dxf>
    <dxf>
      <font>
        <color rgb="FF006100"/>
      </font>
      <fill>
        <patternFill patternType="solid">
          <fgColor indexed="64"/>
          <bgColor rgb="FFC6EFCE"/>
        </patternFill>
      </fill>
    </dxf>
    <dxf>
      <numFmt numFmtId="164" formatCode="0.000"/>
      <fill>
        <patternFill patternType="solid">
          <fgColor indexed="64"/>
          <bgColor rgb="FFE2F0D9"/>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E2F0D9"/>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thin">
          <color rgb="FFFFFFFF"/>
        </left>
        <right style="thin">
          <color rgb="FFFFFFFF"/>
        </right>
        <top style="thin">
          <color rgb="FFFFFFFF"/>
        </top>
        <bottom style="thin">
          <color rgb="FFFFFFFF"/>
        </bottom>
      </border>
    </dxf>
    <dxf>
      <font>
        <b/>
        <i val="0"/>
        <strike val="0"/>
        <condense val="0"/>
        <extend val="0"/>
        <outline val="0"/>
        <shadow val="0"/>
        <u val="none"/>
        <vertAlign val="baseline"/>
        <sz val="10"/>
        <color rgb="FF17365D"/>
        <name val="Arial"/>
        <scheme val="none"/>
      </font>
      <fill>
        <patternFill patternType="solid">
          <fgColor indexed="64"/>
          <bgColor rgb="FFD9EAF7"/>
        </patternFill>
      </fill>
    </dxf>
    <dxf>
      <font>
        <b val="0"/>
        <i val="0"/>
        <strike val="0"/>
        <condense val="0"/>
        <extend val="0"/>
        <outline val="0"/>
        <shadow val="0"/>
        <u val="none"/>
        <vertAlign val="baseline"/>
        <sz val="12"/>
        <color auto="1"/>
        <name val="Arial"/>
        <family val="2"/>
        <scheme val="none"/>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auto="1"/>
        <name val="Arial"/>
        <family val="2"/>
        <scheme val="none"/>
      </font>
      <numFmt numFmtId="164" formatCode="0.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family val="2"/>
        <scheme val="none"/>
      </font>
      <numFmt numFmtId="164" formatCode="0.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family val="2"/>
        <scheme val="none"/>
      </font>
      <numFmt numFmtId="164" formatCode="0.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family val="2"/>
        <scheme val="none"/>
      </font>
      <numFmt numFmtId="164" formatCode="0.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family val="2"/>
        <scheme val="none"/>
      </font>
      <numFmt numFmtId="164" formatCode="0.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family val="2"/>
        <scheme val="none"/>
      </font>
      <numFmt numFmtId="164" formatCode="0.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family val="2"/>
        <scheme val="none"/>
      </font>
      <numFmt numFmtId="164" formatCode="0.000"/>
      <border diagonalUp="0" diagonalDown="0">
        <left/>
        <right style="thin">
          <color indexed="64"/>
        </right>
        <top style="thin">
          <color indexed="64"/>
        </top>
        <bottom style="thin">
          <color indexed="64"/>
        </bottom>
        <vertical/>
        <horizontal/>
      </border>
    </dxf>
    <dxf>
      <border outline="0">
        <left style="thin">
          <color indexed="64"/>
        </left>
        <right style="thin">
          <color indexed="64"/>
        </right>
        <bottom style="thin">
          <color indexed="64"/>
        </bottom>
      </border>
    </dxf>
    <dxf>
      <font>
        <b val="0"/>
        <i val="0"/>
        <strike val="0"/>
        <condense val="0"/>
        <extend val="0"/>
        <outline val="0"/>
        <shadow val="0"/>
        <u val="none"/>
        <vertAlign val="baseline"/>
        <sz val="12"/>
        <color auto="1"/>
        <name val="Arial"/>
        <family val="2"/>
        <scheme val="none"/>
      </font>
    </dxf>
    <dxf>
      <font>
        <b/>
        <i val="0"/>
        <strike val="0"/>
        <condense val="0"/>
        <extend val="0"/>
        <outline val="0"/>
        <shadow val="0"/>
        <u val="none"/>
        <vertAlign val="baseline"/>
        <sz val="14"/>
        <color auto="1"/>
        <name val="Arial"/>
        <family val="2"/>
        <scheme val="none"/>
      </font>
      <numFmt numFmtId="164" formatCode="0.000"/>
      <fill>
        <patternFill patternType="solid">
          <fgColor indexed="64"/>
          <bgColor theme="9"/>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1" defaultTableStyle="TableStyleMedium2" defaultPivotStyle="PivotStyleLight16">
    <tableStyle name="Invisible" pivot="0" table="0" count="0" xr9:uid="{1FD46004-96E4-44C2-8483-A8F37A80FE6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Happiest Countries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Tables'!$A$4:$A$14</c:f>
              <c:strCache>
                <c:ptCount val="11"/>
                <c:pt idx="0">
                  <c:v>Country</c:v>
                </c:pt>
                <c:pt idx="1">
                  <c:v>Finland</c:v>
                </c:pt>
                <c:pt idx="2">
                  <c:v>Denmark</c:v>
                </c:pt>
                <c:pt idx="3">
                  <c:v>Iceland</c:v>
                </c:pt>
                <c:pt idx="4">
                  <c:v>Sweden</c:v>
                </c:pt>
                <c:pt idx="5">
                  <c:v>Norway</c:v>
                </c:pt>
                <c:pt idx="6">
                  <c:v>Netherlands</c:v>
                </c:pt>
                <c:pt idx="7">
                  <c:v>Norway</c:v>
                </c:pt>
                <c:pt idx="8">
                  <c:v>Luxembourg</c:v>
                </c:pt>
                <c:pt idx="9">
                  <c:v>Switzerland</c:v>
                </c:pt>
                <c:pt idx="10">
                  <c:v>Australia</c:v>
                </c:pt>
              </c:strCache>
            </c:strRef>
          </c:cat>
          <c:val>
            <c:numRef>
              <c:f>'Pivot Tables'!$B$4:$B$14</c:f>
              <c:numCache>
                <c:formatCode>0.000</c:formatCode>
                <c:ptCount val="11"/>
                <c:pt idx="0" formatCode="General">
                  <c:v>0</c:v>
                </c:pt>
                <c:pt idx="1">
                  <c:v>7.7406997680664063</c:v>
                </c:pt>
                <c:pt idx="2">
                  <c:v>7.5826997756958008</c:v>
                </c:pt>
                <c:pt idx="3">
                  <c:v>7.5251002311706543</c:v>
                </c:pt>
                <c:pt idx="4">
                  <c:v>7.3440999984741211</c:v>
                </c:pt>
                <c:pt idx="5">
                  <c:v>7.3411002159118652</c:v>
                </c:pt>
                <c:pt idx="6">
                  <c:v>7.3193998336791992</c:v>
                </c:pt>
                <c:pt idx="7">
                  <c:v>7.3017001152038574</c:v>
                </c:pt>
                <c:pt idx="8">
                  <c:v>7.1219000816345215</c:v>
                </c:pt>
                <c:pt idx="9">
                  <c:v>7.0602002143859863</c:v>
                </c:pt>
                <c:pt idx="10">
                  <c:v>7.0569000244140625</c:v>
                </c:pt>
              </c:numCache>
            </c:numRef>
          </c:val>
          <c:extLst>
            <c:ext xmlns:c16="http://schemas.microsoft.com/office/drawing/2014/chart" uri="{C3380CC4-5D6E-409C-BE32-E72D297353CC}">
              <c16:uniqueId val="{00000000-EC5D-49F1-92BB-F5357DBF91A1}"/>
            </c:ext>
          </c:extLst>
        </c:ser>
        <c:dLbls>
          <c:dLblPos val="inEnd"/>
          <c:showLegendKey val="0"/>
          <c:showVal val="1"/>
          <c:showCatName val="0"/>
          <c:showSerName val="0"/>
          <c:showPercent val="0"/>
          <c:showBubbleSize val="0"/>
        </c:dLbls>
        <c:gapWidth val="115"/>
        <c:overlap val="-20"/>
        <c:axId val="2067496336"/>
        <c:axId val="2067492496"/>
      </c:barChart>
      <c:catAx>
        <c:axId val="206749633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7492496"/>
        <c:crosses val="autoZero"/>
        <c:auto val="1"/>
        <c:lblAlgn val="ctr"/>
        <c:lblOffset val="100"/>
        <c:noMultiLvlLbl val="0"/>
      </c:catAx>
      <c:valAx>
        <c:axId val="206749249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7496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Happiness Score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Tables'!$B$17</c:f>
              <c:strCache>
                <c:ptCount val="1"/>
                <c:pt idx="0">
                  <c:v>Average Happiness Score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Tables'!$A$18:$A$27</c:f>
              <c:strCache>
                <c:ptCount val="10"/>
                <c:pt idx="0">
                  <c:v>Western Europe</c:v>
                </c:pt>
                <c:pt idx="1">
                  <c:v>Central &amp; Eastern Europe</c:v>
                </c:pt>
                <c:pt idx="2">
                  <c:v>North America &amp; ANZ</c:v>
                </c:pt>
                <c:pt idx="3">
                  <c:v>Latin America &amp; Caribbean</c:v>
                </c:pt>
                <c:pt idx="4">
                  <c:v>Middle East &amp; North Africa</c:v>
                </c:pt>
                <c:pt idx="5">
                  <c:v>East Asia</c:v>
                </c:pt>
                <c:pt idx="6">
                  <c:v>Southeast Asia</c:v>
                </c:pt>
                <c:pt idx="7">
                  <c:v>South Asia</c:v>
                </c:pt>
                <c:pt idx="8">
                  <c:v>Commonwealth of Independent States</c:v>
                </c:pt>
                <c:pt idx="9">
                  <c:v>Sub-Saharan Africa</c:v>
                </c:pt>
              </c:strCache>
            </c:strRef>
          </c:cat>
          <c:val>
            <c:numRef>
              <c:f>'Pivot Tables'!$B$18:$B$27</c:f>
              <c:numCache>
                <c:formatCode>0.000</c:formatCode>
                <c:ptCount val="10"/>
                <c:pt idx="0">
                  <c:v>6.8653238160269598</c:v>
                </c:pt>
                <c:pt idx="1">
                  <c:v>6.083921056044729</c:v>
                </c:pt>
                <c:pt idx="2">
                  <c:v>6.9276250600814819</c:v>
                </c:pt>
                <c:pt idx="3">
                  <c:v>6.143368394751298</c:v>
                </c:pt>
                <c:pt idx="4">
                  <c:v>5.0660562515258789</c:v>
                </c:pt>
                <c:pt idx="5">
                  <c:v>5.9344166914621992</c:v>
                </c:pt>
                <c:pt idx="6">
                  <c:v>5.5518999629550514</c:v>
                </c:pt>
                <c:pt idx="7">
                  <c:v>3.8957000176111856</c:v>
                </c:pt>
                <c:pt idx="8">
                  <c:v>5.5868750214576721</c:v>
                </c:pt>
                <c:pt idx="9">
                  <c:v>4.3297799723488941</c:v>
                </c:pt>
              </c:numCache>
            </c:numRef>
          </c:val>
          <c:extLst>
            <c:ext xmlns:c16="http://schemas.microsoft.com/office/drawing/2014/chart" uri="{C3380CC4-5D6E-409C-BE32-E72D297353CC}">
              <c16:uniqueId val="{00000000-57CD-431C-9DEF-421872B864ED}"/>
            </c:ext>
          </c:extLst>
        </c:ser>
        <c:dLbls>
          <c:dLblPos val="inEnd"/>
          <c:showLegendKey val="0"/>
          <c:showVal val="1"/>
          <c:showCatName val="0"/>
          <c:showSerName val="0"/>
          <c:showPercent val="0"/>
          <c:showBubbleSize val="0"/>
        </c:dLbls>
        <c:gapWidth val="65"/>
        <c:axId val="2067493936"/>
        <c:axId val="2067494416"/>
      </c:barChart>
      <c:catAx>
        <c:axId val="206749393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67494416"/>
        <c:crosses val="autoZero"/>
        <c:auto val="1"/>
        <c:lblAlgn val="ctr"/>
        <c:lblOffset val="100"/>
        <c:noMultiLvlLbl val="0"/>
      </c:catAx>
      <c:valAx>
        <c:axId val="206749441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0" sourceLinked="1"/>
        <c:majorTickMark val="none"/>
        <c:minorTickMark val="none"/>
        <c:tickLblPos val="nextTo"/>
        <c:crossAx val="206749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Distribution of Countries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tx>
            <c:strRef>
              <c:f>'Pivot Tables'!$G$17</c:f>
              <c:strCache>
                <c:ptCount val="1"/>
                <c:pt idx="0">
                  <c:v>Country Count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5E9-4745-B3EC-210F9B2B286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5E9-4745-B3EC-210F9B2B286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5E9-4745-B3EC-210F9B2B286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5E9-4745-B3EC-210F9B2B286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E5E9-4745-B3EC-210F9B2B286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E5E9-4745-B3EC-210F9B2B286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E5E9-4745-B3EC-210F9B2B286E}"/>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E5E9-4745-B3EC-210F9B2B286E}"/>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E5E9-4745-B3EC-210F9B2B286E}"/>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E5E9-4745-B3EC-210F9B2B286E}"/>
              </c:ext>
            </c:extLst>
          </c:dPt>
          <c:cat>
            <c:strRef>
              <c:f>'Pivot Tables'!$F$18:$F$27</c:f>
              <c:strCache>
                <c:ptCount val="10"/>
                <c:pt idx="0">
                  <c:v>Western Europe</c:v>
                </c:pt>
                <c:pt idx="1">
                  <c:v>Central &amp; Eastern Europe</c:v>
                </c:pt>
                <c:pt idx="2">
                  <c:v>North America &amp; ANZ</c:v>
                </c:pt>
                <c:pt idx="3">
                  <c:v>Latin America &amp; Caribbean</c:v>
                </c:pt>
                <c:pt idx="4">
                  <c:v>Middle East &amp; North Africa</c:v>
                </c:pt>
                <c:pt idx="5">
                  <c:v>East Asia</c:v>
                </c:pt>
                <c:pt idx="6">
                  <c:v>Southeast Asia</c:v>
                </c:pt>
                <c:pt idx="7">
                  <c:v>South Asia</c:v>
                </c:pt>
                <c:pt idx="8">
                  <c:v>Commonwealth of Independent States</c:v>
                </c:pt>
                <c:pt idx="9">
                  <c:v>Sub-Saharan Africa</c:v>
                </c:pt>
              </c:strCache>
            </c:strRef>
          </c:cat>
          <c:val>
            <c:numRef>
              <c:f>'Pivot Tables'!$G$18:$G$27</c:f>
              <c:numCache>
                <c:formatCode>0</c:formatCode>
                <c:ptCount val="10"/>
                <c:pt idx="0">
                  <c:v>20</c:v>
                </c:pt>
                <c:pt idx="1">
                  <c:v>19</c:v>
                </c:pt>
                <c:pt idx="2">
                  <c:v>4</c:v>
                </c:pt>
                <c:pt idx="3">
                  <c:v>19</c:v>
                </c:pt>
                <c:pt idx="4">
                  <c:v>16</c:v>
                </c:pt>
                <c:pt idx="5">
                  <c:v>6</c:v>
                </c:pt>
                <c:pt idx="6">
                  <c:v>9</c:v>
                </c:pt>
                <c:pt idx="7">
                  <c:v>6</c:v>
                </c:pt>
                <c:pt idx="8">
                  <c:v>8</c:v>
                </c:pt>
                <c:pt idx="9">
                  <c:v>35</c:v>
                </c:pt>
              </c:numCache>
            </c:numRef>
          </c:val>
          <c:extLst>
            <c:ext xmlns:c16="http://schemas.microsoft.com/office/drawing/2014/chart" uri="{C3380CC4-5D6E-409C-BE32-E72D297353CC}">
              <c16:uniqueId val="{00000000-B323-40BC-B399-26C8B57E41C3}"/>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GDP per Capita vs Happiness Score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Charts!$S$1</c:f>
              <c:strCache>
                <c:ptCount val="1"/>
                <c:pt idx="0">
                  <c:v>GDP per Capita</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Charts!$R$2:$R$144</c:f>
              <c:strCache>
                <c:ptCount val="143"/>
                <c:pt idx="0">
                  <c:v>Venezuela</c:v>
                </c:pt>
                <c:pt idx="1">
                  <c:v>Congo (Kinshasa)</c:v>
                </c:pt>
                <c:pt idx="2">
                  <c:v>Mozambique</c:v>
                </c:pt>
                <c:pt idx="3">
                  <c:v>Niger</c:v>
                </c:pt>
                <c:pt idx="4">
                  <c:v>Chad</c:v>
                </c:pt>
                <c:pt idx="5">
                  <c:v>Malawi</c:v>
                </c:pt>
                <c:pt idx="6">
                  <c:v>Liberia</c:v>
                </c:pt>
                <c:pt idx="7">
                  <c:v>Madagascar</c:v>
                </c:pt>
                <c:pt idx="8">
                  <c:v>Afghanistan</c:v>
                </c:pt>
                <c:pt idx="9">
                  <c:v>Sierra Leone</c:v>
                </c:pt>
                <c:pt idx="10">
                  <c:v>Yemen</c:v>
                </c:pt>
                <c:pt idx="11">
                  <c:v>Mali</c:v>
                </c:pt>
                <c:pt idx="12">
                  <c:v>Zimbabwe</c:v>
                </c:pt>
                <c:pt idx="13">
                  <c:v>Gambia</c:v>
                </c:pt>
                <c:pt idx="14">
                  <c:v>Burkina Faso</c:v>
                </c:pt>
                <c:pt idx="15">
                  <c:v>Togo</c:v>
                </c:pt>
                <c:pt idx="16">
                  <c:v>Lesotho</c:v>
                </c:pt>
                <c:pt idx="17">
                  <c:v>Uganda</c:v>
                </c:pt>
                <c:pt idx="18">
                  <c:v>Ethiopia</c:v>
                </c:pt>
                <c:pt idx="19">
                  <c:v>Tanzania</c:v>
                </c:pt>
                <c:pt idx="20">
                  <c:v>Guinea</c:v>
                </c:pt>
                <c:pt idx="21">
                  <c:v>Congo (Brazzaville)</c:v>
                </c:pt>
                <c:pt idx="22">
                  <c:v>Comoros</c:v>
                </c:pt>
                <c:pt idx="23">
                  <c:v>Zambia</c:v>
                </c:pt>
                <c:pt idx="24">
                  <c:v>Benin</c:v>
                </c:pt>
                <c:pt idx="25">
                  <c:v>Senegal</c:v>
                </c:pt>
                <c:pt idx="26">
                  <c:v>Cameroon</c:v>
                </c:pt>
                <c:pt idx="27">
                  <c:v>Nepal</c:v>
                </c:pt>
                <c:pt idx="28">
                  <c:v>Myanmar</c:v>
                </c:pt>
                <c:pt idx="29">
                  <c:v>Cambodia</c:v>
                </c:pt>
                <c:pt idx="30">
                  <c:v>Kenya</c:v>
                </c:pt>
                <c:pt idx="31">
                  <c:v>Nigeria</c:v>
                </c:pt>
                <c:pt idx="32">
                  <c:v>Kyrgyzstan</c:v>
                </c:pt>
                <c:pt idx="33">
                  <c:v>Pakistan</c:v>
                </c:pt>
                <c:pt idx="34">
                  <c:v>Ghana</c:v>
                </c:pt>
                <c:pt idx="35">
                  <c:v>Mauritania</c:v>
                </c:pt>
                <c:pt idx="36">
                  <c:v>Ivory Coast</c:v>
                </c:pt>
                <c:pt idx="37">
                  <c:v>Honduras</c:v>
                </c:pt>
                <c:pt idx="38">
                  <c:v>Nicaragua</c:v>
                </c:pt>
                <c:pt idx="39">
                  <c:v>Bangladesh</c:v>
                </c:pt>
                <c:pt idx="40">
                  <c:v>India</c:v>
                </c:pt>
                <c:pt idx="41">
                  <c:v>Laos</c:v>
                </c:pt>
                <c:pt idx="42">
                  <c:v>Uzbekistan</c:v>
                </c:pt>
                <c:pt idx="43">
                  <c:v>Palestine</c:v>
                </c:pt>
                <c:pt idx="44">
                  <c:v>Morocco</c:v>
                </c:pt>
                <c:pt idx="45">
                  <c:v>Bolivia</c:v>
                </c:pt>
                <c:pt idx="46">
                  <c:v>Philippines</c:v>
                </c:pt>
                <c:pt idx="47">
                  <c:v>Iraq</c:v>
                </c:pt>
                <c:pt idx="48">
                  <c:v>Eswatini</c:v>
                </c:pt>
                <c:pt idx="49">
                  <c:v>Guatemala</c:v>
                </c:pt>
                <c:pt idx="50">
                  <c:v>Jordan</c:v>
                </c:pt>
                <c:pt idx="51">
                  <c:v>El Salvador</c:v>
                </c:pt>
                <c:pt idx="52">
                  <c:v>Namibia</c:v>
                </c:pt>
                <c:pt idx="53">
                  <c:v>Jamaica</c:v>
                </c:pt>
                <c:pt idx="54">
                  <c:v>Tunisia</c:v>
                </c:pt>
                <c:pt idx="55">
                  <c:v>Ecuador</c:v>
                </c:pt>
                <c:pt idx="56">
                  <c:v>Algeria</c:v>
                </c:pt>
                <c:pt idx="57">
                  <c:v>Vietnam</c:v>
                </c:pt>
                <c:pt idx="58">
                  <c:v>Ukraine</c:v>
                </c:pt>
                <c:pt idx="59">
                  <c:v>Mongolia</c:v>
                </c:pt>
                <c:pt idx="60">
                  <c:v>Sri Lanka</c:v>
                </c:pt>
                <c:pt idx="61">
                  <c:v>Indonesia</c:v>
                </c:pt>
                <c:pt idx="62">
                  <c:v>Kosovo</c:v>
                </c:pt>
                <c:pt idx="63">
                  <c:v>Egypt</c:v>
                </c:pt>
                <c:pt idx="64">
                  <c:v>Peru</c:v>
                </c:pt>
                <c:pt idx="65">
                  <c:v>Lebanon</c:v>
                </c:pt>
                <c:pt idx="66">
                  <c:v>Moldova</c:v>
                </c:pt>
                <c:pt idx="67">
                  <c:v>South Africa</c:v>
                </c:pt>
                <c:pt idx="68">
                  <c:v>Paraguay</c:v>
                </c:pt>
                <c:pt idx="69">
                  <c:v>Gabon</c:v>
                </c:pt>
                <c:pt idx="70">
                  <c:v>Brazil</c:v>
                </c:pt>
                <c:pt idx="71">
                  <c:v>Azerbaijan</c:v>
                </c:pt>
                <c:pt idx="72">
                  <c:v>Iran</c:v>
                </c:pt>
                <c:pt idx="73">
                  <c:v>Colombia</c:v>
                </c:pt>
                <c:pt idx="74">
                  <c:v>Albania</c:v>
                </c:pt>
                <c:pt idx="75">
                  <c:v>Armenia</c:v>
                </c:pt>
                <c:pt idx="76">
                  <c:v>Botswana</c:v>
                </c:pt>
                <c:pt idx="77">
                  <c:v>Bosnia and Herzegovina</c:v>
                </c:pt>
                <c:pt idx="78">
                  <c:v>Georgia</c:v>
                </c:pt>
                <c:pt idx="79">
                  <c:v>North Macedonia</c:v>
                </c:pt>
                <c:pt idx="80">
                  <c:v>Thailand</c:v>
                </c:pt>
                <c:pt idx="81">
                  <c:v>China</c:v>
                </c:pt>
                <c:pt idx="82">
                  <c:v>Dominican Republic</c:v>
                </c:pt>
                <c:pt idx="83">
                  <c:v>Mexico</c:v>
                </c:pt>
                <c:pt idx="84">
                  <c:v>Libya</c:v>
                </c:pt>
                <c:pt idx="85">
                  <c:v>Serbia</c:v>
                </c:pt>
                <c:pt idx="86">
                  <c:v>Costa Rica</c:v>
                </c:pt>
                <c:pt idx="87">
                  <c:v>Argentina</c:v>
                </c:pt>
                <c:pt idx="88">
                  <c:v>Mauritius</c:v>
                </c:pt>
                <c:pt idx="89">
                  <c:v>Montenegro</c:v>
                </c:pt>
                <c:pt idx="90">
                  <c:v>Uruguay</c:v>
                </c:pt>
                <c:pt idx="91">
                  <c:v>Chile</c:v>
                </c:pt>
                <c:pt idx="92">
                  <c:v>Kazakhstan</c:v>
                </c:pt>
                <c:pt idx="93">
                  <c:v>Bulgaria</c:v>
                </c:pt>
                <c:pt idx="94">
                  <c:v>Russia</c:v>
                </c:pt>
                <c:pt idx="95">
                  <c:v>Malaysia</c:v>
                </c:pt>
                <c:pt idx="96">
                  <c:v>Greece</c:v>
                </c:pt>
                <c:pt idx="97">
                  <c:v>Romania</c:v>
                </c:pt>
                <c:pt idx="98">
                  <c:v>Latvia</c:v>
                </c:pt>
                <c:pt idx="99">
                  <c:v>Turkiye</c:v>
                </c:pt>
                <c:pt idx="100">
                  <c:v>Panama</c:v>
                </c:pt>
                <c:pt idx="101">
                  <c:v>Slovakia</c:v>
                </c:pt>
                <c:pt idx="102">
                  <c:v>Croatia</c:v>
                </c:pt>
                <c:pt idx="103">
                  <c:v>Hungary</c:v>
                </c:pt>
                <c:pt idx="104">
                  <c:v>Portugal</c:v>
                </c:pt>
                <c:pt idx="105">
                  <c:v>Poland</c:v>
                </c:pt>
                <c:pt idx="106">
                  <c:v>Estonia</c:v>
                </c:pt>
                <c:pt idx="107">
                  <c:v>Lithuania</c:v>
                </c:pt>
                <c:pt idx="108">
                  <c:v>Spain</c:v>
                </c:pt>
                <c:pt idx="109">
                  <c:v>Czechia</c:v>
                </c:pt>
                <c:pt idx="110">
                  <c:v>Slovenia</c:v>
                </c:pt>
                <c:pt idx="111">
                  <c:v>Japan</c:v>
                </c:pt>
                <c:pt idx="112">
                  <c:v>Cyprus</c:v>
                </c:pt>
                <c:pt idx="113">
                  <c:v>Italy</c:v>
                </c:pt>
                <c:pt idx="114">
                  <c:v>Norway</c:v>
                </c:pt>
                <c:pt idx="115">
                  <c:v>New Zealand</c:v>
                </c:pt>
                <c:pt idx="116">
                  <c:v>South Korea</c:v>
                </c:pt>
                <c:pt idx="117">
                  <c:v>France</c:v>
                </c:pt>
                <c:pt idx="118">
                  <c:v>United Kingdom</c:v>
                </c:pt>
                <c:pt idx="119">
                  <c:v>Malta</c:v>
                </c:pt>
                <c:pt idx="120">
                  <c:v>Canada</c:v>
                </c:pt>
                <c:pt idx="121">
                  <c:v>Taiwan Province of China</c:v>
                </c:pt>
                <c:pt idx="122">
                  <c:v>Saudi Arabia</c:v>
                </c:pt>
                <c:pt idx="123">
                  <c:v>Finland</c:v>
                </c:pt>
                <c:pt idx="124">
                  <c:v>Kuwait</c:v>
                </c:pt>
                <c:pt idx="125">
                  <c:v>Australia</c:v>
                </c:pt>
                <c:pt idx="126">
                  <c:v>Belgium</c:v>
                </c:pt>
                <c:pt idx="127">
                  <c:v>Germany</c:v>
                </c:pt>
                <c:pt idx="128">
                  <c:v>Sweden</c:v>
                </c:pt>
                <c:pt idx="129">
                  <c:v>Iceland</c:v>
                </c:pt>
                <c:pt idx="130">
                  <c:v>Austria</c:v>
                </c:pt>
                <c:pt idx="131">
                  <c:v>Netherlands</c:v>
                </c:pt>
                <c:pt idx="132">
                  <c:v>Denmark</c:v>
                </c:pt>
                <c:pt idx="133">
                  <c:v>Hong Kong</c:v>
                </c:pt>
                <c:pt idx="134">
                  <c:v>United States</c:v>
                </c:pt>
                <c:pt idx="135">
                  <c:v>Norway</c:v>
                </c:pt>
                <c:pt idx="136">
                  <c:v>Switzerland</c:v>
                </c:pt>
                <c:pt idx="137">
                  <c:v>United Arab Emirates</c:v>
                </c:pt>
                <c:pt idx="138">
                  <c:v>Singapore</c:v>
                </c:pt>
                <c:pt idx="139">
                  <c:v>Ireland</c:v>
                </c:pt>
                <c:pt idx="140">
                  <c:v>Luxembourg</c:v>
                </c:pt>
                <c:pt idx="141">
                  <c:v>Bahrain</c:v>
                </c:pt>
                <c:pt idx="142">
                  <c:v>Tajikistan</c:v>
                </c:pt>
              </c:strCache>
            </c:strRef>
          </c:cat>
          <c:val>
            <c:numRef>
              <c:f>Charts!$S$2:$S$144</c:f>
              <c:numCache>
                <c:formatCode>General</c:formatCode>
                <c:ptCount val="143"/>
                <c:pt idx="0">
                  <c:v>0</c:v>
                </c:pt>
                <c:pt idx="1">
                  <c:v>0.53367000818252563</c:v>
                </c:pt>
                <c:pt idx="2">
                  <c:v>0.55976742506027222</c:v>
                </c:pt>
                <c:pt idx="3">
                  <c:v>0.57284975051879883</c:v>
                </c:pt>
                <c:pt idx="4">
                  <c:v>0.60330259799957275</c:v>
                </c:pt>
                <c:pt idx="5">
                  <c:v>0.61691111326217651</c:v>
                </c:pt>
                <c:pt idx="6">
                  <c:v>0.61877793073654175</c:v>
                </c:pt>
                <c:pt idx="7">
                  <c:v>0.6279069185256958</c:v>
                </c:pt>
                <c:pt idx="8">
                  <c:v>0.62813818454742432</c:v>
                </c:pt>
                <c:pt idx="9">
                  <c:v>0.65427839756011963</c:v>
                </c:pt>
                <c:pt idx="10">
                  <c:v>0.67127901315689087</c:v>
                </c:pt>
                <c:pt idx="11">
                  <c:v>0.7474067211151123</c:v>
                </c:pt>
                <c:pt idx="12">
                  <c:v>0.74833720922470093</c:v>
                </c:pt>
                <c:pt idx="13">
                  <c:v>0.75029802322387695</c:v>
                </c:pt>
                <c:pt idx="14">
                  <c:v>0.75584930181503296</c:v>
                </c:pt>
                <c:pt idx="15">
                  <c:v>0.75849395990371704</c:v>
                </c:pt>
                <c:pt idx="16">
                  <c:v>0.77080661058425903</c:v>
                </c:pt>
                <c:pt idx="17">
                  <c:v>0.77195256948471069</c:v>
                </c:pt>
                <c:pt idx="18">
                  <c:v>0.79156035184860229</c:v>
                </c:pt>
                <c:pt idx="19">
                  <c:v>0.82013702392578125</c:v>
                </c:pt>
                <c:pt idx="20">
                  <c:v>0.83056735992431641</c:v>
                </c:pt>
                <c:pt idx="21">
                  <c:v>0.8923410177230835</c:v>
                </c:pt>
                <c:pt idx="22">
                  <c:v>0.89553189277648926</c:v>
                </c:pt>
                <c:pt idx="23">
                  <c:v>0.89897161722183228</c:v>
                </c:pt>
                <c:pt idx="24">
                  <c:v>0.9135749340057373</c:v>
                </c:pt>
                <c:pt idx="25">
                  <c:v>0.92735916376113892</c:v>
                </c:pt>
                <c:pt idx="26">
                  <c:v>0.9432443380355835</c:v>
                </c:pt>
                <c:pt idx="27">
                  <c:v>0.96536391973495483</c:v>
                </c:pt>
                <c:pt idx="28">
                  <c:v>0.97761642932891846</c:v>
                </c:pt>
                <c:pt idx="29">
                  <c:v>1.0109834671020508</c:v>
                </c:pt>
                <c:pt idx="30">
                  <c:v>1.036737322807312</c:v>
                </c:pt>
                <c:pt idx="31">
                  <c:v>1.0417711734771729</c:v>
                </c:pt>
                <c:pt idx="32">
                  <c:v>1.0542736053466797</c:v>
                </c:pt>
                <c:pt idx="33">
                  <c:v>1.0685423612594604</c:v>
                </c:pt>
                <c:pt idx="34">
                  <c:v>1.0765100717544556</c:v>
                </c:pt>
                <c:pt idx="35">
                  <c:v>1.077660083770752</c:v>
                </c:pt>
                <c:pt idx="36">
                  <c:v>1.0801311731338501</c:v>
                </c:pt>
                <c:pt idx="37">
                  <c:v>1.0906941890716553</c:v>
                </c:pt>
                <c:pt idx="38">
                  <c:v>1.0972721576690674</c:v>
                </c:pt>
                <c:pt idx="39">
                  <c:v>1.1216069459915161</c:v>
                </c:pt>
                <c:pt idx="40">
                  <c:v>1.1661732196807861</c:v>
                </c:pt>
                <c:pt idx="41">
                  <c:v>1.2084683179855347</c:v>
                </c:pt>
                <c:pt idx="42">
                  <c:v>1.2116951942443848</c:v>
                </c:pt>
                <c:pt idx="43">
                  <c:v>1.2130000000000001</c:v>
                </c:pt>
                <c:pt idx="44">
                  <c:v>1.2134435176849365</c:v>
                </c:pt>
                <c:pt idx="45">
                  <c:v>1.2170525789260864</c:v>
                </c:pt>
                <c:pt idx="46">
                  <c:v>1.2319400310516357</c:v>
                </c:pt>
                <c:pt idx="47">
                  <c:v>1.2487026453018188</c:v>
                </c:pt>
                <c:pt idx="48">
                  <c:v>1.2553025484085083</c:v>
                </c:pt>
                <c:pt idx="49">
                  <c:v>1.2595252990722656</c:v>
                </c:pt>
                <c:pt idx="50">
                  <c:v>1.2622883319854736</c:v>
                </c:pt>
                <c:pt idx="51">
                  <c:v>1.2650809288024902</c:v>
                </c:pt>
                <c:pt idx="52">
                  <c:v>1.2663460969924927</c:v>
                </c:pt>
                <c:pt idx="53">
                  <c:v>1.2801949977874756</c:v>
                </c:pt>
                <c:pt idx="54">
                  <c:v>1.3064451217651367</c:v>
                </c:pt>
                <c:pt idx="55">
                  <c:v>1.3154677152633667</c:v>
                </c:pt>
                <c:pt idx="56">
                  <c:v>1.3235404491424561</c:v>
                </c:pt>
                <c:pt idx="57">
                  <c:v>1.330500602722168</c:v>
                </c:pt>
                <c:pt idx="58">
                  <c:v>1.3498984575271606</c:v>
                </c:pt>
                <c:pt idx="59">
                  <c:v>1.3527040481567383</c:v>
                </c:pt>
                <c:pt idx="60">
                  <c:v>1.3609724044799805</c:v>
                </c:pt>
                <c:pt idx="61">
                  <c:v>1.3614945411682129</c:v>
                </c:pt>
                <c:pt idx="62">
                  <c:v>1.3642358779907227</c:v>
                </c:pt>
                <c:pt idx="63">
                  <c:v>1.3699750900268555</c:v>
                </c:pt>
                <c:pt idx="64">
                  <c:v>1.3706018924713135</c:v>
                </c:pt>
                <c:pt idx="65">
                  <c:v>1.3767255544662476</c:v>
                </c:pt>
                <c:pt idx="66">
                  <c:v>1.3853644132614136</c:v>
                </c:pt>
                <c:pt idx="67">
                  <c:v>1.3891060352325439</c:v>
                </c:pt>
                <c:pt idx="68">
                  <c:v>1.3981411457061768</c:v>
                </c:pt>
                <c:pt idx="69">
                  <c:v>1.4034374952316284</c:v>
                </c:pt>
                <c:pt idx="70">
                  <c:v>1.4295258522033691</c:v>
                </c:pt>
                <c:pt idx="71">
                  <c:v>1.4329136610031128</c:v>
                </c:pt>
                <c:pt idx="72">
                  <c:v>1.4351887702941895</c:v>
                </c:pt>
                <c:pt idx="73">
                  <c:v>1.4369055032730103</c:v>
                </c:pt>
                <c:pt idx="74">
                  <c:v>1.4378888607025146</c:v>
                </c:pt>
                <c:pt idx="75">
                  <c:v>1.4435883760452271</c:v>
                </c:pt>
                <c:pt idx="76">
                  <c:v>1.4446913003921509</c:v>
                </c:pt>
                <c:pt idx="77">
                  <c:v>1.4647413492202759</c:v>
                </c:pt>
                <c:pt idx="78">
                  <c:v>1.4669232368469238</c:v>
                </c:pt>
                <c:pt idx="79">
                  <c:v>1.4753087759017944</c:v>
                </c:pt>
                <c:pt idx="80">
                  <c:v>1.4842075109481812</c:v>
                </c:pt>
                <c:pt idx="81">
                  <c:v>1.4968482255935669</c:v>
                </c:pt>
                <c:pt idx="82">
                  <c:v>1.5166972875595093</c:v>
                </c:pt>
                <c:pt idx="83">
                  <c:v>1.5207414627075195</c:v>
                </c:pt>
                <c:pt idx="84">
                  <c:v>1.5256569385528564</c:v>
                </c:pt>
                <c:pt idx="85">
                  <c:v>1.5378245115280151</c:v>
                </c:pt>
                <c:pt idx="86">
                  <c:v>1.5606451034545898</c:v>
                </c:pt>
                <c:pt idx="87">
                  <c:v>1.5617474317550659</c:v>
                </c:pt>
                <c:pt idx="88">
                  <c:v>1.5704201459884644</c:v>
                </c:pt>
                <c:pt idx="89">
                  <c:v>1.5705214738845825</c:v>
                </c:pt>
                <c:pt idx="90">
                  <c:v>1.5955692529678345</c:v>
                </c:pt>
                <c:pt idx="91">
                  <c:v>1.6164460182189941</c:v>
                </c:pt>
                <c:pt idx="92">
                  <c:v>1.6224950551986694</c:v>
                </c:pt>
                <c:pt idx="93">
                  <c:v>1.6293822526931763</c:v>
                </c:pt>
                <c:pt idx="94">
                  <c:v>1.6421922445297241</c:v>
                </c:pt>
                <c:pt idx="95">
                  <c:v>1.6458711624145508</c:v>
                </c:pt>
                <c:pt idx="96">
                  <c:v>1.6839154958724976</c:v>
                </c:pt>
                <c:pt idx="97">
                  <c:v>1.6990300416946411</c:v>
                </c:pt>
                <c:pt idx="98">
                  <c:v>1.7002942562103271</c:v>
                </c:pt>
                <c:pt idx="99">
                  <c:v>1.7015780210494995</c:v>
                </c:pt>
                <c:pt idx="100">
                  <c:v>1.7017160654067993</c:v>
                </c:pt>
                <c:pt idx="101">
                  <c:v>1.7055419683456421</c:v>
                </c:pt>
                <c:pt idx="102">
                  <c:v>1.7100956439971924</c:v>
                </c:pt>
                <c:pt idx="103">
                  <c:v>1.7220711708068848</c:v>
                </c:pt>
                <c:pt idx="104">
                  <c:v>1.7275601625442505</c:v>
                </c:pt>
                <c:pt idx="105">
                  <c:v>1.737703800201416</c:v>
                </c:pt>
                <c:pt idx="106">
                  <c:v>1.7518472671508789</c:v>
                </c:pt>
                <c:pt idx="107">
                  <c:v>1.7656822204589844</c:v>
                </c:pt>
                <c:pt idx="108">
                  <c:v>1.7661887407302856</c:v>
                </c:pt>
                <c:pt idx="109">
                  <c:v>1.783191442489624</c:v>
                </c:pt>
                <c:pt idx="110">
                  <c:v>1.785599946975708</c:v>
                </c:pt>
                <c:pt idx="111">
                  <c:v>1.7857211828231812</c:v>
                </c:pt>
                <c:pt idx="112">
                  <c:v>1.7937989234924316</c:v>
                </c:pt>
                <c:pt idx="113">
                  <c:v>1.8001515865325928</c:v>
                </c:pt>
                <c:pt idx="114">
                  <c:v>1.8029335737228394</c:v>
                </c:pt>
                <c:pt idx="115">
                  <c:v>1.8103488683700562</c:v>
                </c:pt>
                <c:pt idx="116">
                  <c:v>1.8149861097335815</c:v>
                </c:pt>
                <c:pt idx="117">
                  <c:v>1.818342924118042</c:v>
                </c:pt>
                <c:pt idx="118">
                  <c:v>1.8222154378890991</c:v>
                </c:pt>
                <c:pt idx="119">
                  <c:v>1.8269320726394653</c:v>
                </c:pt>
                <c:pt idx="120">
                  <c:v>1.8397207260131836</c:v>
                </c:pt>
                <c:pt idx="121">
                  <c:v>1.8415800333023071</c:v>
                </c:pt>
                <c:pt idx="122">
                  <c:v>1.8423970937728882</c:v>
                </c:pt>
                <c:pt idx="123">
                  <c:v>1.8440535068511963</c:v>
                </c:pt>
                <c:pt idx="124">
                  <c:v>1.8450720310211182</c:v>
                </c:pt>
                <c:pt idx="125">
                  <c:v>1.8542584180831909</c:v>
                </c:pt>
                <c:pt idx="126">
                  <c:v>1.8680410385131836</c:v>
                </c:pt>
                <c:pt idx="127">
                  <c:v>1.8713324069976807</c:v>
                </c:pt>
                <c:pt idx="128">
                  <c:v>1.8781455755233765</c:v>
                </c:pt>
                <c:pt idx="129">
                  <c:v>1.8807179927825928</c:v>
                </c:pt>
                <c:pt idx="130">
                  <c:v>1.8852653503417969</c:v>
                </c:pt>
                <c:pt idx="131">
                  <c:v>1.9006567001342773</c:v>
                </c:pt>
                <c:pt idx="132">
                  <c:v>1.9077976942062378</c:v>
                </c:pt>
                <c:pt idx="133">
                  <c:v>1.9087110757827759</c:v>
                </c:pt>
                <c:pt idx="134">
                  <c:v>1.9388630390167236</c:v>
                </c:pt>
                <c:pt idx="135">
                  <c:v>1.9519555568695068</c:v>
                </c:pt>
                <c:pt idx="136">
                  <c:v>1.9702684879302979</c:v>
                </c:pt>
                <c:pt idx="137">
                  <c:v>1.9831197261810303</c:v>
                </c:pt>
                <c:pt idx="138">
                  <c:v>2.1180984973907471</c:v>
                </c:pt>
                <c:pt idx="139">
                  <c:v>2.1288285255432129</c:v>
                </c:pt>
                <c:pt idx="140">
                  <c:v>2.1405189037322998</c:v>
                </c:pt>
                <c:pt idx="141">
                  <c:v>0</c:v>
                </c:pt>
                <c:pt idx="142">
                  <c:v>0</c:v>
                </c:pt>
              </c:numCache>
            </c:numRef>
          </c:val>
          <c:smooth val="0"/>
          <c:extLst>
            <c:ext xmlns:c16="http://schemas.microsoft.com/office/drawing/2014/chart" uri="{C3380CC4-5D6E-409C-BE32-E72D297353CC}">
              <c16:uniqueId val="{00000000-BF03-49E2-A9BD-9A8ABD096372}"/>
            </c:ext>
          </c:extLst>
        </c:ser>
        <c:ser>
          <c:idx val="1"/>
          <c:order val="1"/>
          <c:tx>
            <c:strRef>
              <c:f>Charts!$T$1</c:f>
              <c:strCache>
                <c:ptCount val="1"/>
                <c:pt idx="0">
                  <c:v>Happiness Score</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Charts!$R$2:$R$144</c:f>
              <c:strCache>
                <c:ptCount val="143"/>
                <c:pt idx="0">
                  <c:v>Venezuela</c:v>
                </c:pt>
                <c:pt idx="1">
                  <c:v>Congo (Kinshasa)</c:v>
                </c:pt>
                <c:pt idx="2">
                  <c:v>Mozambique</c:v>
                </c:pt>
                <c:pt idx="3">
                  <c:v>Niger</c:v>
                </c:pt>
                <c:pt idx="4">
                  <c:v>Chad</c:v>
                </c:pt>
                <c:pt idx="5">
                  <c:v>Malawi</c:v>
                </c:pt>
                <c:pt idx="6">
                  <c:v>Liberia</c:v>
                </c:pt>
                <c:pt idx="7">
                  <c:v>Madagascar</c:v>
                </c:pt>
                <c:pt idx="8">
                  <c:v>Afghanistan</c:v>
                </c:pt>
                <c:pt idx="9">
                  <c:v>Sierra Leone</c:v>
                </c:pt>
                <c:pt idx="10">
                  <c:v>Yemen</c:v>
                </c:pt>
                <c:pt idx="11">
                  <c:v>Mali</c:v>
                </c:pt>
                <c:pt idx="12">
                  <c:v>Zimbabwe</c:v>
                </c:pt>
                <c:pt idx="13">
                  <c:v>Gambia</c:v>
                </c:pt>
                <c:pt idx="14">
                  <c:v>Burkina Faso</c:v>
                </c:pt>
                <c:pt idx="15">
                  <c:v>Togo</c:v>
                </c:pt>
                <c:pt idx="16">
                  <c:v>Lesotho</c:v>
                </c:pt>
                <c:pt idx="17">
                  <c:v>Uganda</c:v>
                </c:pt>
                <c:pt idx="18">
                  <c:v>Ethiopia</c:v>
                </c:pt>
                <c:pt idx="19">
                  <c:v>Tanzania</c:v>
                </c:pt>
                <c:pt idx="20">
                  <c:v>Guinea</c:v>
                </c:pt>
                <c:pt idx="21">
                  <c:v>Congo (Brazzaville)</c:v>
                </c:pt>
                <c:pt idx="22">
                  <c:v>Comoros</c:v>
                </c:pt>
                <c:pt idx="23">
                  <c:v>Zambia</c:v>
                </c:pt>
                <c:pt idx="24">
                  <c:v>Benin</c:v>
                </c:pt>
                <c:pt idx="25">
                  <c:v>Senegal</c:v>
                </c:pt>
                <c:pt idx="26">
                  <c:v>Cameroon</c:v>
                </c:pt>
                <c:pt idx="27">
                  <c:v>Nepal</c:v>
                </c:pt>
                <c:pt idx="28">
                  <c:v>Myanmar</c:v>
                </c:pt>
                <c:pt idx="29">
                  <c:v>Cambodia</c:v>
                </c:pt>
                <c:pt idx="30">
                  <c:v>Kenya</c:v>
                </c:pt>
                <c:pt idx="31">
                  <c:v>Nigeria</c:v>
                </c:pt>
                <c:pt idx="32">
                  <c:v>Kyrgyzstan</c:v>
                </c:pt>
                <c:pt idx="33">
                  <c:v>Pakistan</c:v>
                </c:pt>
                <c:pt idx="34">
                  <c:v>Ghana</c:v>
                </c:pt>
                <c:pt idx="35">
                  <c:v>Mauritania</c:v>
                </c:pt>
                <c:pt idx="36">
                  <c:v>Ivory Coast</c:v>
                </c:pt>
                <c:pt idx="37">
                  <c:v>Honduras</c:v>
                </c:pt>
                <c:pt idx="38">
                  <c:v>Nicaragua</c:v>
                </c:pt>
                <c:pt idx="39">
                  <c:v>Bangladesh</c:v>
                </c:pt>
                <c:pt idx="40">
                  <c:v>India</c:v>
                </c:pt>
                <c:pt idx="41">
                  <c:v>Laos</c:v>
                </c:pt>
                <c:pt idx="42">
                  <c:v>Uzbekistan</c:v>
                </c:pt>
                <c:pt idx="43">
                  <c:v>Palestine</c:v>
                </c:pt>
                <c:pt idx="44">
                  <c:v>Morocco</c:v>
                </c:pt>
                <c:pt idx="45">
                  <c:v>Bolivia</c:v>
                </c:pt>
                <c:pt idx="46">
                  <c:v>Philippines</c:v>
                </c:pt>
                <c:pt idx="47">
                  <c:v>Iraq</c:v>
                </c:pt>
                <c:pt idx="48">
                  <c:v>Eswatini</c:v>
                </c:pt>
                <c:pt idx="49">
                  <c:v>Guatemala</c:v>
                </c:pt>
                <c:pt idx="50">
                  <c:v>Jordan</c:v>
                </c:pt>
                <c:pt idx="51">
                  <c:v>El Salvador</c:v>
                </c:pt>
                <c:pt idx="52">
                  <c:v>Namibia</c:v>
                </c:pt>
                <c:pt idx="53">
                  <c:v>Jamaica</c:v>
                </c:pt>
                <c:pt idx="54">
                  <c:v>Tunisia</c:v>
                </c:pt>
                <c:pt idx="55">
                  <c:v>Ecuador</c:v>
                </c:pt>
                <c:pt idx="56">
                  <c:v>Algeria</c:v>
                </c:pt>
                <c:pt idx="57">
                  <c:v>Vietnam</c:v>
                </c:pt>
                <c:pt idx="58">
                  <c:v>Ukraine</c:v>
                </c:pt>
                <c:pt idx="59">
                  <c:v>Mongolia</c:v>
                </c:pt>
                <c:pt idx="60">
                  <c:v>Sri Lanka</c:v>
                </c:pt>
                <c:pt idx="61">
                  <c:v>Indonesia</c:v>
                </c:pt>
                <c:pt idx="62">
                  <c:v>Kosovo</c:v>
                </c:pt>
                <c:pt idx="63">
                  <c:v>Egypt</c:v>
                </c:pt>
                <c:pt idx="64">
                  <c:v>Peru</c:v>
                </c:pt>
                <c:pt idx="65">
                  <c:v>Lebanon</c:v>
                </c:pt>
                <c:pt idx="66">
                  <c:v>Moldova</c:v>
                </c:pt>
                <c:pt idx="67">
                  <c:v>South Africa</c:v>
                </c:pt>
                <c:pt idx="68">
                  <c:v>Paraguay</c:v>
                </c:pt>
                <c:pt idx="69">
                  <c:v>Gabon</c:v>
                </c:pt>
                <c:pt idx="70">
                  <c:v>Brazil</c:v>
                </c:pt>
                <c:pt idx="71">
                  <c:v>Azerbaijan</c:v>
                </c:pt>
                <c:pt idx="72">
                  <c:v>Iran</c:v>
                </c:pt>
                <c:pt idx="73">
                  <c:v>Colombia</c:v>
                </c:pt>
                <c:pt idx="74">
                  <c:v>Albania</c:v>
                </c:pt>
                <c:pt idx="75">
                  <c:v>Armenia</c:v>
                </c:pt>
                <c:pt idx="76">
                  <c:v>Botswana</c:v>
                </c:pt>
                <c:pt idx="77">
                  <c:v>Bosnia and Herzegovina</c:v>
                </c:pt>
                <c:pt idx="78">
                  <c:v>Georgia</c:v>
                </c:pt>
                <c:pt idx="79">
                  <c:v>North Macedonia</c:v>
                </c:pt>
                <c:pt idx="80">
                  <c:v>Thailand</c:v>
                </c:pt>
                <c:pt idx="81">
                  <c:v>China</c:v>
                </c:pt>
                <c:pt idx="82">
                  <c:v>Dominican Republic</c:v>
                </c:pt>
                <c:pt idx="83">
                  <c:v>Mexico</c:v>
                </c:pt>
                <c:pt idx="84">
                  <c:v>Libya</c:v>
                </c:pt>
                <c:pt idx="85">
                  <c:v>Serbia</c:v>
                </c:pt>
                <c:pt idx="86">
                  <c:v>Costa Rica</c:v>
                </c:pt>
                <c:pt idx="87">
                  <c:v>Argentina</c:v>
                </c:pt>
                <c:pt idx="88">
                  <c:v>Mauritius</c:v>
                </c:pt>
                <c:pt idx="89">
                  <c:v>Montenegro</c:v>
                </c:pt>
                <c:pt idx="90">
                  <c:v>Uruguay</c:v>
                </c:pt>
                <c:pt idx="91">
                  <c:v>Chile</c:v>
                </c:pt>
                <c:pt idx="92">
                  <c:v>Kazakhstan</c:v>
                </c:pt>
                <c:pt idx="93">
                  <c:v>Bulgaria</c:v>
                </c:pt>
                <c:pt idx="94">
                  <c:v>Russia</c:v>
                </c:pt>
                <c:pt idx="95">
                  <c:v>Malaysia</c:v>
                </c:pt>
                <c:pt idx="96">
                  <c:v>Greece</c:v>
                </c:pt>
                <c:pt idx="97">
                  <c:v>Romania</c:v>
                </c:pt>
                <c:pt idx="98">
                  <c:v>Latvia</c:v>
                </c:pt>
                <c:pt idx="99">
                  <c:v>Turkiye</c:v>
                </c:pt>
                <c:pt idx="100">
                  <c:v>Panama</c:v>
                </c:pt>
                <c:pt idx="101">
                  <c:v>Slovakia</c:v>
                </c:pt>
                <c:pt idx="102">
                  <c:v>Croatia</c:v>
                </c:pt>
                <c:pt idx="103">
                  <c:v>Hungary</c:v>
                </c:pt>
                <c:pt idx="104">
                  <c:v>Portugal</c:v>
                </c:pt>
                <c:pt idx="105">
                  <c:v>Poland</c:v>
                </c:pt>
                <c:pt idx="106">
                  <c:v>Estonia</c:v>
                </c:pt>
                <c:pt idx="107">
                  <c:v>Lithuania</c:v>
                </c:pt>
                <c:pt idx="108">
                  <c:v>Spain</c:v>
                </c:pt>
                <c:pt idx="109">
                  <c:v>Czechia</c:v>
                </c:pt>
                <c:pt idx="110">
                  <c:v>Slovenia</c:v>
                </c:pt>
                <c:pt idx="111">
                  <c:v>Japan</c:v>
                </c:pt>
                <c:pt idx="112">
                  <c:v>Cyprus</c:v>
                </c:pt>
                <c:pt idx="113">
                  <c:v>Italy</c:v>
                </c:pt>
                <c:pt idx="114">
                  <c:v>Norway</c:v>
                </c:pt>
                <c:pt idx="115">
                  <c:v>New Zealand</c:v>
                </c:pt>
                <c:pt idx="116">
                  <c:v>South Korea</c:v>
                </c:pt>
                <c:pt idx="117">
                  <c:v>France</c:v>
                </c:pt>
                <c:pt idx="118">
                  <c:v>United Kingdom</c:v>
                </c:pt>
                <c:pt idx="119">
                  <c:v>Malta</c:v>
                </c:pt>
                <c:pt idx="120">
                  <c:v>Canada</c:v>
                </c:pt>
                <c:pt idx="121">
                  <c:v>Taiwan Province of China</c:v>
                </c:pt>
                <c:pt idx="122">
                  <c:v>Saudi Arabia</c:v>
                </c:pt>
                <c:pt idx="123">
                  <c:v>Finland</c:v>
                </c:pt>
                <c:pt idx="124">
                  <c:v>Kuwait</c:v>
                </c:pt>
                <c:pt idx="125">
                  <c:v>Australia</c:v>
                </c:pt>
                <c:pt idx="126">
                  <c:v>Belgium</c:v>
                </c:pt>
                <c:pt idx="127">
                  <c:v>Germany</c:v>
                </c:pt>
                <c:pt idx="128">
                  <c:v>Sweden</c:v>
                </c:pt>
                <c:pt idx="129">
                  <c:v>Iceland</c:v>
                </c:pt>
                <c:pt idx="130">
                  <c:v>Austria</c:v>
                </c:pt>
                <c:pt idx="131">
                  <c:v>Netherlands</c:v>
                </c:pt>
                <c:pt idx="132">
                  <c:v>Denmark</c:v>
                </c:pt>
                <c:pt idx="133">
                  <c:v>Hong Kong</c:v>
                </c:pt>
                <c:pt idx="134">
                  <c:v>United States</c:v>
                </c:pt>
                <c:pt idx="135">
                  <c:v>Norway</c:v>
                </c:pt>
                <c:pt idx="136">
                  <c:v>Switzerland</c:v>
                </c:pt>
                <c:pt idx="137">
                  <c:v>United Arab Emirates</c:v>
                </c:pt>
                <c:pt idx="138">
                  <c:v>Singapore</c:v>
                </c:pt>
                <c:pt idx="139">
                  <c:v>Ireland</c:v>
                </c:pt>
                <c:pt idx="140">
                  <c:v>Luxembourg</c:v>
                </c:pt>
                <c:pt idx="141">
                  <c:v>Bahrain</c:v>
                </c:pt>
                <c:pt idx="142">
                  <c:v>Tajikistan</c:v>
                </c:pt>
              </c:strCache>
            </c:strRef>
          </c:cat>
          <c:val>
            <c:numRef>
              <c:f>Charts!$T$2:$T$144</c:f>
              <c:numCache>
                <c:formatCode>General</c:formatCode>
                <c:ptCount val="143"/>
                <c:pt idx="0">
                  <c:v>5.6066999435424805</c:v>
                </c:pt>
                <c:pt idx="1">
                  <c:v>3.2953999042510986</c:v>
                </c:pt>
                <c:pt idx="2">
                  <c:v>5.216400146484375</c:v>
                </c:pt>
                <c:pt idx="3">
                  <c:v>4.556300163269043</c:v>
                </c:pt>
                <c:pt idx="4">
                  <c:v>4.4713001251220703</c:v>
                </c:pt>
                <c:pt idx="5">
                  <c:v>3.4210000038146973</c:v>
                </c:pt>
                <c:pt idx="6">
                  <c:v>4.2685999870300293</c:v>
                </c:pt>
                <c:pt idx="7">
                  <c:v>4.2279000282287598</c:v>
                </c:pt>
                <c:pt idx="8">
                  <c:v>1.7209999561309814</c:v>
                </c:pt>
                <c:pt idx="9">
                  <c:v>3.2451999187469482</c:v>
                </c:pt>
                <c:pt idx="10">
                  <c:v>3.5610001087188721</c:v>
                </c:pt>
                <c:pt idx="11">
                  <c:v>4.2319998741149902</c:v>
                </c:pt>
                <c:pt idx="12">
                  <c:v>3.3410999774932861</c:v>
                </c:pt>
                <c:pt idx="13">
                  <c:v>4.4848999977111816</c:v>
                </c:pt>
                <c:pt idx="14">
                  <c:v>4.5479998588562012</c:v>
                </c:pt>
                <c:pt idx="15">
                  <c:v>4.2140998840332031</c:v>
                </c:pt>
                <c:pt idx="16">
                  <c:v>3.1861999034881592</c:v>
                </c:pt>
                <c:pt idx="17">
                  <c:v>4.3716998100280762</c:v>
                </c:pt>
                <c:pt idx="18">
                  <c:v>3.8608999252319336</c:v>
                </c:pt>
                <c:pt idx="19">
                  <c:v>3.7806000709533691</c:v>
                </c:pt>
                <c:pt idx="20">
                  <c:v>5.0233001708984375</c:v>
                </c:pt>
                <c:pt idx="21">
                  <c:v>5.2214999198913574</c:v>
                </c:pt>
                <c:pt idx="22">
                  <c:v>3.5662999153137207</c:v>
                </c:pt>
                <c:pt idx="23">
                  <c:v>3.5023999214172363</c:v>
                </c:pt>
                <c:pt idx="24">
                  <c:v>4.3773999214172363</c:v>
                </c:pt>
                <c:pt idx="25">
                  <c:v>4.968599796295166</c:v>
                </c:pt>
                <c:pt idx="26">
                  <c:v>4.8744001388549805</c:v>
                </c:pt>
                <c:pt idx="27">
                  <c:v>5.1584000587463379</c:v>
                </c:pt>
                <c:pt idx="28">
                  <c:v>4.3544998168945313</c:v>
                </c:pt>
                <c:pt idx="29">
                  <c:v>4.3407001495361328</c:v>
                </c:pt>
                <c:pt idx="30">
                  <c:v>4.4696002006530762</c:v>
                </c:pt>
                <c:pt idx="31">
                  <c:v>4.8807997703552246</c:v>
                </c:pt>
                <c:pt idx="32">
                  <c:v>5.7135000228881836</c:v>
                </c:pt>
                <c:pt idx="33">
                  <c:v>4.6567001342773438</c:v>
                </c:pt>
                <c:pt idx="34">
                  <c:v>4.2894001007080078</c:v>
                </c:pt>
                <c:pt idx="35">
                  <c:v>4.5050997734069824</c:v>
                </c:pt>
                <c:pt idx="36">
                  <c:v>5.0801000595092773</c:v>
                </c:pt>
                <c:pt idx="37">
                  <c:v>5.9684000015258789</c:v>
                </c:pt>
                <c:pt idx="38">
                  <c:v>6.2838997840881348</c:v>
                </c:pt>
                <c:pt idx="39">
                  <c:v>3.8859000205993652</c:v>
                </c:pt>
                <c:pt idx="40">
                  <c:v>4.0541000366210938</c:v>
                </c:pt>
                <c:pt idx="41">
                  <c:v>5.1388998031616211</c:v>
                </c:pt>
                <c:pt idx="42">
                  <c:v>6.195000171661377</c:v>
                </c:pt>
                <c:pt idx="43">
                  <c:v>4.8794999122619629</c:v>
                </c:pt>
                <c:pt idx="44">
                  <c:v>4.7947001457214355</c:v>
                </c:pt>
                <c:pt idx="45">
                  <c:v>5.7842998504638672</c:v>
                </c:pt>
                <c:pt idx="46">
                  <c:v>6.0475997924804688</c:v>
                </c:pt>
                <c:pt idx="47">
                  <c:v>5.1659998893737793</c:v>
                </c:pt>
                <c:pt idx="48">
                  <c:v>3.502000093460083</c:v>
                </c:pt>
                <c:pt idx="49">
                  <c:v>6.2870001792907715</c:v>
                </c:pt>
                <c:pt idx="50">
                  <c:v>4.1858000755310059</c:v>
                </c:pt>
                <c:pt idx="51">
                  <c:v>6.4686999320983887</c:v>
                </c:pt>
                <c:pt idx="52">
                  <c:v>4.8316998481750488</c:v>
                </c:pt>
                <c:pt idx="53">
                  <c:v>5.8417000770568848</c:v>
                </c:pt>
                <c:pt idx="54">
                  <c:v>4.4218001365661621</c:v>
                </c:pt>
                <c:pt idx="55">
                  <c:v>5.7245001792907715</c:v>
                </c:pt>
                <c:pt idx="56">
                  <c:v>5.3635001182556152</c:v>
                </c:pt>
                <c:pt idx="57">
                  <c:v>6.0430002212524414</c:v>
                </c:pt>
                <c:pt idx="58">
                  <c:v>4.8730001449584961</c:v>
                </c:pt>
                <c:pt idx="59">
                  <c:v>5.696199893951416</c:v>
                </c:pt>
                <c:pt idx="60">
                  <c:v>3.8980998992919922</c:v>
                </c:pt>
                <c:pt idx="61">
                  <c:v>5.5682997703552246</c:v>
                </c:pt>
                <c:pt idx="62">
                  <c:v>6.560999870300293</c:v>
                </c:pt>
                <c:pt idx="63">
                  <c:v>3.9765999317169189</c:v>
                </c:pt>
                <c:pt idx="64">
                  <c:v>5.8408999443054199</c:v>
                </c:pt>
                <c:pt idx="65">
                  <c:v>2.7065000534057617</c:v>
                </c:pt>
                <c:pt idx="66">
                  <c:v>5.8158998489379883</c:v>
                </c:pt>
                <c:pt idx="67">
                  <c:v>5.4219999313354492</c:v>
                </c:pt>
                <c:pt idx="68">
                  <c:v>5.9765000343322754</c:v>
                </c:pt>
                <c:pt idx="69">
                  <c:v>5.106299877166748</c:v>
                </c:pt>
                <c:pt idx="70">
                  <c:v>6.2719998359680176</c:v>
                </c:pt>
                <c:pt idx="71">
                  <c:v>4.8934001922607422</c:v>
                </c:pt>
                <c:pt idx="72">
                  <c:v>4.9228000640869141</c:v>
                </c:pt>
                <c:pt idx="73">
                  <c:v>5.6950998306274414</c:v>
                </c:pt>
                <c:pt idx="74">
                  <c:v>5.3042001724243164</c:v>
                </c:pt>
                <c:pt idx="75">
                  <c:v>5.454899787902832</c:v>
                </c:pt>
                <c:pt idx="76">
                  <c:v>3.3833999633789063</c:v>
                </c:pt>
                <c:pt idx="77">
                  <c:v>5.8769998550415039</c:v>
                </c:pt>
                <c:pt idx="78">
                  <c:v>5.1847000122070313</c:v>
                </c:pt>
                <c:pt idx="79">
                  <c:v>5.3691000938415527</c:v>
                </c:pt>
                <c:pt idx="80">
                  <c:v>5.976099967956543</c:v>
                </c:pt>
                <c:pt idx="81">
                  <c:v>5.9727001190185547</c:v>
                </c:pt>
                <c:pt idx="82">
                  <c:v>5.8228001594543457</c:v>
                </c:pt>
                <c:pt idx="83">
                  <c:v>6.6779999732971191</c:v>
                </c:pt>
                <c:pt idx="84">
                  <c:v>5.866300106048584</c:v>
                </c:pt>
                <c:pt idx="85">
                  <c:v>6.4107999801635742</c:v>
                </c:pt>
                <c:pt idx="86">
                  <c:v>6.9553999900817871</c:v>
                </c:pt>
                <c:pt idx="87">
                  <c:v>6.1880998611450195</c:v>
                </c:pt>
                <c:pt idx="88">
                  <c:v>5.8164000511169434</c:v>
                </c:pt>
                <c:pt idx="89">
                  <c:v>5.7069997787475586</c:v>
                </c:pt>
                <c:pt idx="90">
                  <c:v>6.6114997863769531</c:v>
                </c:pt>
                <c:pt idx="91">
                  <c:v>6.3603000640869141</c:v>
                </c:pt>
                <c:pt idx="92">
                  <c:v>6.1875</c:v>
                </c:pt>
                <c:pt idx="93">
                  <c:v>5.4626998901367188</c:v>
                </c:pt>
                <c:pt idx="94">
                  <c:v>5.7852997779846191</c:v>
                </c:pt>
                <c:pt idx="95">
                  <c:v>5.9752001762390137</c:v>
                </c:pt>
                <c:pt idx="96">
                  <c:v>5.9335999488830566</c:v>
                </c:pt>
                <c:pt idx="97">
                  <c:v>6.4911999702453613</c:v>
                </c:pt>
                <c:pt idx="98">
                  <c:v>6.2344999313354492</c:v>
                </c:pt>
                <c:pt idx="99">
                  <c:v>4.9752998352050781</c:v>
                </c:pt>
                <c:pt idx="100">
                  <c:v>6.3582000732421875</c:v>
                </c:pt>
                <c:pt idx="101">
                  <c:v>6.2571001052856445</c:v>
                </c:pt>
                <c:pt idx="102">
                  <c:v>5.9422998428344727</c:v>
                </c:pt>
                <c:pt idx="103">
                  <c:v>6.0169000625610352</c:v>
                </c:pt>
                <c:pt idx="104">
                  <c:v>6.0296001434326172</c:v>
                </c:pt>
                <c:pt idx="105">
                  <c:v>6.441500186920166</c:v>
                </c:pt>
                <c:pt idx="106">
                  <c:v>6.447700023651123</c:v>
                </c:pt>
                <c:pt idx="107">
                  <c:v>6.817500114440918</c:v>
                </c:pt>
                <c:pt idx="108">
                  <c:v>6.4208998680114746</c:v>
                </c:pt>
                <c:pt idx="109">
                  <c:v>6.8218002319335938</c:v>
                </c:pt>
                <c:pt idx="110">
                  <c:v>6.7432999610900879</c:v>
                </c:pt>
                <c:pt idx="111">
                  <c:v>6.0598001480102539</c:v>
                </c:pt>
                <c:pt idx="112">
                  <c:v>6.0680999755859375</c:v>
                </c:pt>
                <c:pt idx="113">
                  <c:v>6.3235001564025879</c:v>
                </c:pt>
                <c:pt idx="114">
                  <c:v>7.3411002159118652</c:v>
                </c:pt>
                <c:pt idx="115">
                  <c:v>7.0292000770568848</c:v>
                </c:pt>
                <c:pt idx="116">
                  <c:v>6.0578999519348145</c:v>
                </c:pt>
                <c:pt idx="117">
                  <c:v>6.6090002059936523</c:v>
                </c:pt>
                <c:pt idx="118">
                  <c:v>6.749000072479248</c:v>
                </c:pt>
                <c:pt idx="119">
                  <c:v>6.3457999229431152</c:v>
                </c:pt>
                <c:pt idx="120">
                  <c:v>6.8996000289916992</c:v>
                </c:pt>
                <c:pt idx="121">
                  <c:v>6.5034999847412109</c:v>
                </c:pt>
                <c:pt idx="122">
                  <c:v>6.5935001373291016</c:v>
                </c:pt>
                <c:pt idx="123">
                  <c:v>7.7406997680664063</c:v>
                </c:pt>
                <c:pt idx="124">
                  <c:v>6.9513998031616211</c:v>
                </c:pt>
                <c:pt idx="125">
                  <c:v>7.0569000244140625</c:v>
                </c:pt>
                <c:pt idx="126">
                  <c:v>6.8941998481750488</c:v>
                </c:pt>
                <c:pt idx="127">
                  <c:v>6.7185001373291016</c:v>
                </c:pt>
                <c:pt idx="128">
                  <c:v>7.3440999984741211</c:v>
                </c:pt>
                <c:pt idx="129">
                  <c:v>7.5251002311706543</c:v>
                </c:pt>
                <c:pt idx="130">
                  <c:v>6.9046998023986816</c:v>
                </c:pt>
                <c:pt idx="131">
                  <c:v>7.3193998336791992</c:v>
                </c:pt>
                <c:pt idx="132">
                  <c:v>7.5826997756958008</c:v>
                </c:pt>
                <c:pt idx="133">
                  <c:v>5.3164000511169434</c:v>
                </c:pt>
                <c:pt idx="134">
                  <c:v>6.7248001098632813</c:v>
                </c:pt>
                <c:pt idx="135">
                  <c:v>7.3017001152038574</c:v>
                </c:pt>
                <c:pt idx="136">
                  <c:v>7.0602002143859863</c:v>
                </c:pt>
                <c:pt idx="137">
                  <c:v>6.7330999374389648</c:v>
                </c:pt>
                <c:pt idx="138">
                  <c:v>6.5227999687194824</c:v>
                </c:pt>
                <c:pt idx="139">
                  <c:v>6.8379998207092285</c:v>
                </c:pt>
                <c:pt idx="140">
                  <c:v>7.1219000816345215</c:v>
                </c:pt>
                <c:pt idx="141">
                  <c:v>5.9590997695922852</c:v>
                </c:pt>
                <c:pt idx="142">
                  <c:v>5.2807002067565918</c:v>
                </c:pt>
              </c:numCache>
            </c:numRef>
          </c:val>
          <c:smooth val="0"/>
          <c:extLst>
            <c:ext xmlns:c16="http://schemas.microsoft.com/office/drawing/2014/chart" uri="{C3380CC4-5D6E-409C-BE32-E72D297353CC}">
              <c16:uniqueId val="{00000001-BF03-49E2-A9BD-9A8ABD096372}"/>
            </c:ext>
          </c:extLst>
        </c:ser>
        <c:dLbls>
          <c:showLegendKey val="0"/>
          <c:showVal val="0"/>
          <c:showCatName val="0"/>
          <c:showSerName val="0"/>
          <c:showPercent val="0"/>
          <c:showBubbleSize val="0"/>
        </c:dLbls>
        <c:smooth val="0"/>
        <c:axId val="2067502096"/>
        <c:axId val="2067485776"/>
      </c:lineChart>
      <c:catAx>
        <c:axId val="206750209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7485776"/>
        <c:crosses val="autoZero"/>
        <c:auto val="1"/>
        <c:lblAlgn val="ctr"/>
        <c:lblOffset val="100"/>
        <c:noMultiLvlLbl val="0"/>
      </c:catAx>
      <c:valAx>
        <c:axId val="206748577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75020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Social Support vs Happiness Score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scatterChart>
        <c:scatterStyle val="lineMarker"/>
        <c:varyColors val="0"/>
        <c:ser>
          <c:idx val="0"/>
          <c:order val="0"/>
          <c:tx>
            <c:strRef>
              <c:f>Charts!$X$1</c:f>
              <c:strCache>
                <c:ptCount val="1"/>
                <c:pt idx="0">
                  <c:v>Happiness Score</c:v>
                </c:pt>
              </c:strCache>
            </c:strRef>
          </c:tx>
          <c:spPr>
            <a:ln w="25400" cap="rnd">
              <a:noFill/>
              <a:round/>
            </a:ln>
            <a:effectLst>
              <a:outerShdw dist="25400" dir="2700000" algn="tl" rotWithShape="0">
                <a:schemeClr val="accent1"/>
              </a:outerShdw>
            </a:effectLst>
          </c:spPr>
          <c:marker>
            <c:symbol val="circle"/>
            <c:size val="6"/>
            <c:spPr>
              <a:solidFill>
                <a:schemeClr val="accent1"/>
              </a:solidFill>
              <a:ln w="22225">
                <a:solidFill>
                  <a:schemeClr val="lt1"/>
                </a:solidFill>
                <a:round/>
              </a:ln>
              <a:effectLst/>
            </c:spPr>
          </c:marker>
          <c:xVal>
            <c:numRef>
              <c:f>Charts!$W$2:$W$144</c:f>
              <c:numCache>
                <c:formatCode>General</c:formatCode>
                <c:ptCount val="143"/>
                <c:pt idx="0">
                  <c:v>0</c:v>
                </c:pt>
                <c:pt idx="1">
                  <c:v>0.12834492325782776</c:v>
                </c:pt>
                <c:pt idx="2">
                  <c:v>0.24916358292102814</c:v>
                </c:pt>
                <c:pt idx="3">
                  <c:v>0.32799538969993591</c:v>
                </c:pt>
                <c:pt idx="4">
                  <c:v>0.41037529706954956</c:v>
                </c:pt>
                <c:pt idx="5">
                  <c:v>0.47105264663696289</c:v>
                </c:pt>
                <c:pt idx="6">
                  <c:v>0.56597745418548584</c:v>
                </c:pt>
                <c:pt idx="7">
                  <c:v>0.57671290636062622</c:v>
                </c:pt>
                <c:pt idx="8">
                  <c:v>0.57763051986694336</c:v>
                </c:pt>
                <c:pt idx="9">
                  <c:v>0.58610826730728149</c:v>
                </c:pt>
                <c:pt idx="10">
                  <c:v>0.60037744045257568</c:v>
                </c:pt>
                <c:pt idx="11">
                  <c:v>0.62161260843276978</c:v>
                </c:pt>
                <c:pt idx="12">
                  <c:v>0.6218869686126709</c:v>
                </c:pt>
                <c:pt idx="13">
                  <c:v>0.65266716480255127</c:v>
                </c:pt>
                <c:pt idx="14">
                  <c:v>0.66470003128051758</c:v>
                </c:pt>
                <c:pt idx="15">
                  <c:v>0.673256516456604</c:v>
                </c:pt>
                <c:pt idx="16">
                  <c:v>0.67738664150238037</c:v>
                </c:pt>
                <c:pt idx="17">
                  <c:v>0.68383723497390747</c:v>
                </c:pt>
                <c:pt idx="18">
                  <c:v>0.68505561351776123</c:v>
                </c:pt>
                <c:pt idx="19">
                  <c:v>0.68790453672409058</c:v>
                </c:pt>
                <c:pt idx="20">
                  <c:v>0.70462977886199951</c:v>
                </c:pt>
                <c:pt idx="21">
                  <c:v>0.70603954792022705</c:v>
                </c:pt>
                <c:pt idx="22">
                  <c:v>0.74714690446853638</c:v>
                </c:pt>
                <c:pt idx="23">
                  <c:v>0.75067895650863647</c:v>
                </c:pt>
                <c:pt idx="24">
                  <c:v>0.80541253089904785</c:v>
                </c:pt>
                <c:pt idx="25">
                  <c:v>0.80891859531402588</c:v>
                </c:pt>
                <c:pt idx="26">
                  <c:v>0.82349097728729248</c:v>
                </c:pt>
                <c:pt idx="27">
                  <c:v>0.84629791975021362</c:v>
                </c:pt>
                <c:pt idx="28">
                  <c:v>0.85008198022842407</c:v>
                </c:pt>
                <c:pt idx="29">
                  <c:v>0.85058730840682983</c:v>
                </c:pt>
                <c:pt idx="30">
                  <c:v>0.85600453615188599</c:v>
                </c:pt>
                <c:pt idx="31">
                  <c:v>0.87568622827529907</c:v>
                </c:pt>
                <c:pt idx="32">
                  <c:v>0.88307136297225952</c:v>
                </c:pt>
                <c:pt idx="33">
                  <c:v>0.89535057544708252</c:v>
                </c:pt>
                <c:pt idx="34">
                  <c:v>0.91491889953613281</c:v>
                </c:pt>
                <c:pt idx="35">
                  <c:v>0.9235725998878479</c:v>
                </c:pt>
                <c:pt idx="36">
                  <c:v>0.9251137375831604</c:v>
                </c:pt>
                <c:pt idx="37">
                  <c:v>0.94199999999999995</c:v>
                </c:pt>
                <c:pt idx="38">
                  <c:v>0.95469146966934204</c:v>
                </c:pt>
                <c:pt idx="39">
                  <c:v>0.96861052513122559</c:v>
                </c:pt>
                <c:pt idx="40">
                  <c:v>0.98295855522155762</c:v>
                </c:pt>
                <c:pt idx="41">
                  <c:v>0.98811346292495728</c:v>
                </c:pt>
                <c:pt idx="42">
                  <c:v>0.99001115560531616</c:v>
                </c:pt>
                <c:pt idx="43">
                  <c:v>0.99018365144729614</c:v>
                </c:pt>
                <c:pt idx="44">
                  <c:v>0.99585139751434326</c:v>
                </c:pt>
                <c:pt idx="45">
                  <c:v>0.99594837427139282</c:v>
                </c:pt>
                <c:pt idx="46">
                  <c:v>1.0185363292694092</c:v>
                </c:pt>
                <c:pt idx="47">
                  <c:v>1.0354576110839844</c:v>
                </c:pt>
                <c:pt idx="48">
                  <c:v>1.0376240015029907</c:v>
                </c:pt>
                <c:pt idx="49">
                  <c:v>1.0754878520965576</c:v>
                </c:pt>
                <c:pt idx="50">
                  <c:v>1.07977294921875</c:v>
                </c:pt>
                <c:pt idx="51">
                  <c:v>1.0999952554702759</c:v>
                </c:pt>
                <c:pt idx="52">
                  <c:v>1.1361976861953735</c:v>
                </c:pt>
                <c:pt idx="53">
                  <c:v>1.1434816122055054</c:v>
                </c:pt>
                <c:pt idx="54">
                  <c:v>1.1459598541259766</c:v>
                </c:pt>
                <c:pt idx="55">
                  <c:v>1.1506501436233521</c:v>
                </c:pt>
                <c:pt idx="56">
                  <c:v>1.1507896184921265</c:v>
                </c:pt>
                <c:pt idx="57">
                  <c:v>1.1544399261474609</c:v>
                </c:pt>
                <c:pt idx="58">
                  <c:v>1.163949728012085</c:v>
                </c:pt>
                <c:pt idx="59">
                  <c:v>1.1688857078552246</c:v>
                </c:pt>
                <c:pt idx="60">
                  <c:v>1.1750115156173706</c:v>
                </c:pt>
                <c:pt idx="61">
                  <c:v>1.1780478954315186</c:v>
                </c:pt>
                <c:pt idx="62">
                  <c:v>1.1786798238754272</c:v>
                </c:pt>
                <c:pt idx="63">
                  <c:v>1.1794114112854004</c:v>
                </c:pt>
                <c:pt idx="64">
                  <c:v>1.1799687147140503</c:v>
                </c:pt>
                <c:pt idx="65">
                  <c:v>1.1842628717422485</c:v>
                </c:pt>
                <c:pt idx="66">
                  <c:v>1.1844797134399414</c:v>
                </c:pt>
                <c:pt idx="67">
                  <c:v>1.1906074285507202</c:v>
                </c:pt>
                <c:pt idx="68">
                  <c:v>1.2120418548583984</c:v>
                </c:pt>
                <c:pt idx="69">
                  <c:v>1.2169917821884155</c:v>
                </c:pt>
                <c:pt idx="70">
                  <c:v>1.235722541809082</c:v>
                </c:pt>
                <c:pt idx="71">
                  <c:v>1.238689661026001</c:v>
                </c:pt>
                <c:pt idx="72">
                  <c:v>1.2406914234161377</c:v>
                </c:pt>
                <c:pt idx="73">
                  <c:v>1.2411946058273315</c:v>
                </c:pt>
                <c:pt idx="74">
                  <c:v>1.263219952583313</c:v>
                </c:pt>
                <c:pt idx="75">
                  <c:v>1.2670079469680786</c:v>
                </c:pt>
                <c:pt idx="76">
                  <c:v>1.26877760887146</c:v>
                </c:pt>
                <c:pt idx="77">
                  <c:v>1.2715129852294922</c:v>
                </c:pt>
                <c:pt idx="78">
                  <c:v>1.2760926485061646</c:v>
                </c:pt>
                <c:pt idx="79">
                  <c:v>1.2765878438949585</c:v>
                </c:pt>
                <c:pt idx="80">
                  <c:v>1.2768206596374512</c:v>
                </c:pt>
                <c:pt idx="81">
                  <c:v>1.277184009552002</c:v>
                </c:pt>
                <c:pt idx="82">
                  <c:v>1.2814736366271973</c:v>
                </c:pt>
                <c:pt idx="83">
                  <c:v>1.3152741193771362</c:v>
                </c:pt>
                <c:pt idx="84">
                  <c:v>1.3179855346679688</c:v>
                </c:pt>
                <c:pt idx="85">
                  <c:v>1.3181260824203491</c:v>
                </c:pt>
                <c:pt idx="86">
                  <c:v>1.3213502168655396</c:v>
                </c:pt>
                <c:pt idx="87">
                  <c:v>1.3238065242767334</c:v>
                </c:pt>
                <c:pt idx="88">
                  <c:v>1.3261128664016724</c:v>
                </c:pt>
                <c:pt idx="89">
                  <c:v>1.328234076499939</c:v>
                </c:pt>
                <c:pt idx="90">
                  <c:v>1.3363960981369019</c:v>
                </c:pt>
                <c:pt idx="91">
                  <c:v>1.3458658456802368</c:v>
                </c:pt>
                <c:pt idx="92">
                  <c:v>1.3467154502868652</c:v>
                </c:pt>
                <c:pt idx="93">
                  <c:v>1.3481022119522095</c:v>
                </c:pt>
                <c:pt idx="94">
                  <c:v>1.3511909246444702</c:v>
                </c:pt>
                <c:pt idx="95">
                  <c:v>1.3543787002563477</c:v>
                </c:pt>
                <c:pt idx="96">
                  <c:v>1.3546255826950073</c:v>
                </c:pt>
                <c:pt idx="97">
                  <c:v>1.3577836751937866</c:v>
                </c:pt>
                <c:pt idx="98">
                  <c:v>1.3606481552124023</c:v>
                </c:pt>
                <c:pt idx="99">
                  <c:v>1.3612234592437744</c:v>
                </c:pt>
                <c:pt idx="100">
                  <c:v>1.3636543750762939</c:v>
                </c:pt>
                <c:pt idx="101">
                  <c:v>1.3677244186401367</c:v>
                </c:pt>
                <c:pt idx="102">
                  <c:v>1.3689835071563721</c:v>
                </c:pt>
                <c:pt idx="103">
                  <c:v>1.3692620992660522</c:v>
                </c:pt>
                <c:pt idx="104">
                  <c:v>1.3730103969573975</c:v>
                </c:pt>
                <c:pt idx="105">
                  <c:v>1.3813045024871826</c:v>
                </c:pt>
                <c:pt idx="106">
                  <c:v>1.3896832466125488</c:v>
                </c:pt>
                <c:pt idx="107">
                  <c:v>1.3898677825927734</c:v>
                </c:pt>
                <c:pt idx="108">
                  <c:v>1.3914881944656372</c:v>
                </c:pt>
                <c:pt idx="109">
                  <c:v>1.3917354345321655</c:v>
                </c:pt>
                <c:pt idx="110">
                  <c:v>1.3919932842254639</c:v>
                </c:pt>
                <c:pt idx="111">
                  <c:v>1.3944715261459351</c:v>
                </c:pt>
                <c:pt idx="112">
                  <c:v>1.4080097675323486</c:v>
                </c:pt>
                <c:pt idx="113">
                  <c:v>1.417370080947876</c:v>
                </c:pt>
                <c:pt idx="114">
                  <c:v>1.4249322414398193</c:v>
                </c:pt>
                <c:pt idx="115">
                  <c:v>1.4314388036727905</c:v>
                </c:pt>
                <c:pt idx="116">
                  <c:v>1.4404232501983643</c:v>
                </c:pt>
                <c:pt idx="117">
                  <c:v>1.4435973167419434</c:v>
                </c:pt>
                <c:pt idx="118">
                  <c:v>1.4447548389434814</c:v>
                </c:pt>
                <c:pt idx="119">
                  <c:v>1.4535820484161377</c:v>
                </c:pt>
                <c:pt idx="120">
                  <c:v>1.4566448926925659</c:v>
                </c:pt>
                <c:pt idx="121">
                  <c:v>1.4586304426193237</c:v>
                </c:pt>
                <c:pt idx="122">
                  <c:v>1.4610912799835205</c:v>
                </c:pt>
                <c:pt idx="123">
                  <c:v>1.4620469808578491</c:v>
                </c:pt>
                <c:pt idx="124">
                  <c:v>1.4687789678573608</c:v>
                </c:pt>
                <c:pt idx="125">
                  <c:v>1.4706276655197144</c:v>
                </c:pt>
                <c:pt idx="126">
                  <c:v>1.4769147634506226</c:v>
                </c:pt>
                <c:pt idx="127">
                  <c:v>1.5008261203765869</c:v>
                </c:pt>
                <c:pt idx="128">
                  <c:v>1.5022037029266357</c:v>
                </c:pt>
                <c:pt idx="129">
                  <c:v>1.5084776878356934</c:v>
                </c:pt>
                <c:pt idx="130">
                  <c:v>1.5106477737426758</c:v>
                </c:pt>
                <c:pt idx="131">
                  <c:v>1.5110107660293579</c:v>
                </c:pt>
                <c:pt idx="132">
                  <c:v>1.5127928256988525</c:v>
                </c:pt>
                <c:pt idx="133">
                  <c:v>1.5165399312973022</c:v>
                </c:pt>
                <c:pt idx="134">
                  <c:v>1.5203613042831421</c:v>
                </c:pt>
                <c:pt idx="135">
                  <c:v>1.5269402265548706</c:v>
                </c:pt>
                <c:pt idx="136">
                  <c:v>1.5270930528640747</c:v>
                </c:pt>
                <c:pt idx="137">
                  <c:v>1.5282142162322998</c:v>
                </c:pt>
                <c:pt idx="138">
                  <c:v>1.5402960777282715</c:v>
                </c:pt>
                <c:pt idx="139">
                  <c:v>1.5723668336868286</c:v>
                </c:pt>
                <c:pt idx="140">
                  <c:v>1.616525411605835</c:v>
                </c:pt>
                <c:pt idx="141">
                  <c:v>0</c:v>
                </c:pt>
                <c:pt idx="142">
                  <c:v>0</c:v>
                </c:pt>
              </c:numCache>
            </c:numRef>
          </c:xVal>
          <c:yVal>
            <c:numRef>
              <c:f>Charts!$X$2:$X$144</c:f>
              <c:numCache>
                <c:formatCode>General</c:formatCode>
                <c:ptCount val="143"/>
                <c:pt idx="0">
                  <c:v>1.7209999561309814</c:v>
                </c:pt>
                <c:pt idx="1">
                  <c:v>4.3773999214172363</c:v>
                </c:pt>
                <c:pt idx="2">
                  <c:v>3.8859000205993652</c:v>
                </c:pt>
                <c:pt idx="3">
                  <c:v>3.5662999153137207</c:v>
                </c:pt>
                <c:pt idx="4">
                  <c:v>3.4210000038146973</c:v>
                </c:pt>
                <c:pt idx="5">
                  <c:v>4.7947001457214355</c:v>
                </c:pt>
                <c:pt idx="6">
                  <c:v>3.2451999187469482</c:v>
                </c:pt>
                <c:pt idx="7">
                  <c:v>2.7065000534057617</c:v>
                </c:pt>
                <c:pt idx="8">
                  <c:v>5.0801000595092773</c:v>
                </c:pt>
                <c:pt idx="9">
                  <c:v>4.2140998840332031</c:v>
                </c:pt>
                <c:pt idx="10">
                  <c:v>4.6567001342773438</c:v>
                </c:pt>
                <c:pt idx="11">
                  <c:v>5.0233001708984375</c:v>
                </c:pt>
                <c:pt idx="12">
                  <c:v>5.2214999198913574</c:v>
                </c:pt>
                <c:pt idx="13">
                  <c:v>4.0541000366210938</c:v>
                </c:pt>
                <c:pt idx="14">
                  <c:v>3.2953999042510986</c:v>
                </c:pt>
                <c:pt idx="15">
                  <c:v>4.2685999870300293</c:v>
                </c:pt>
                <c:pt idx="16">
                  <c:v>4.556300163269043</c:v>
                </c:pt>
                <c:pt idx="17">
                  <c:v>4.4848999977111816</c:v>
                </c:pt>
                <c:pt idx="18">
                  <c:v>4.5479998588562012</c:v>
                </c:pt>
                <c:pt idx="19">
                  <c:v>4.2319998741149902</c:v>
                </c:pt>
                <c:pt idx="20">
                  <c:v>4.5050997734069824</c:v>
                </c:pt>
                <c:pt idx="21">
                  <c:v>3.7806000709533691</c:v>
                </c:pt>
                <c:pt idx="22">
                  <c:v>4.2894001007080078</c:v>
                </c:pt>
                <c:pt idx="23">
                  <c:v>4.968599796295166</c:v>
                </c:pt>
                <c:pt idx="24">
                  <c:v>4.4713001251220703</c:v>
                </c:pt>
                <c:pt idx="25">
                  <c:v>3.5023999214172363</c:v>
                </c:pt>
                <c:pt idx="26">
                  <c:v>4.2279000282287598</c:v>
                </c:pt>
                <c:pt idx="27">
                  <c:v>5.1388998031616211</c:v>
                </c:pt>
                <c:pt idx="28">
                  <c:v>3.3410999774932861</c:v>
                </c:pt>
                <c:pt idx="29">
                  <c:v>3.1861999034881592</c:v>
                </c:pt>
                <c:pt idx="30">
                  <c:v>4.8744001388549805</c:v>
                </c:pt>
                <c:pt idx="31">
                  <c:v>4.8934001922607422</c:v>
                </c:pt>
                <c:pt idx="32">
                  <c:v>5.216400146484375</c:v>
                </c:pt>
                <c:pt idx="33">
                  <c:v>4.4696002006530762</c:v>
                </c:pt>
                <c:pt idx="34">
                  <c:v>3.8608999252319336</c:v>
                </c:pt>
                <c:pt idx="35">
                  <c:v>5.3042001724243164</c:v>
                </c:pt>
                <c:pt idx="36">
                  <c:v>3.502000093460083</c:v>
                </c:pt>
                <c:pt idx="37">
                  <c:v>4.8794999122619629</c:v>
                </c:pt>
                <c:pt idx="38">
                  <c:v>4.4218001365661621</c:v>
                </c:pt>
                <c:pt idx="39">
                  <c:v>3.3833999633789063</c:v>
                </c:pt>
                <c:pt idx="40">
                  <c:v>4.1858000755310059</c:v>
                </c:pt>
                <c:pt idx="41">
                  <c:v>4.3544998168945313</c:v>
                </c:pt>
                <c:pt idx="42">
                  <c:v>5.1847000122070313</c:v>
                </c:pt>
                <c:pt idx="43">
                  <c:v>5.1584000587463379</c:v>
                </c:pt>
                <c:pt idx="44">
                  <c:v>3.9765999317169189</c:v>
                </c:pt>
                <c:pt idx="45">
                  <c:v>5.1659998893737793</c:v>
                </c:pt>
                <c:pt idx="46">
                  <c:v>4.3407001495361328</c:v>
                </c:pt>
                <c:pt idx="47">
                  <c:v>5.9684000015258789</c:v>
                </c:pt>
                <c:pt idx="48">
                  <c:v>5.106299877166748</c:v>
                </c:pt>
                <c:pt idx="49">
                  <c:v>4.8807997703552246</c:v>
                </c:pt>
                <c:pt idx="50">
                  <c:v>6.4686999320983887</c:v>
                </c:pt>
                <c:pt idx="51">
                  <c:v>5.866300106048584</c:v>
                </c:pt>
                <c:pt idx="52">
                  <c:v>4.9228000640869141</c:v>
                </c:pt>
                <c:pt idx="53">
                  <c:v>5.9752001762390137</c:v>
                </c:pt>
                <c:pt idx="54">
                  <c:v>6.0475997924804688</c:v>
                </c:pt>
                <c:pt idx="55">
                  <c:v>5.7245001792907715</c:v>
                </c:pt>
                <c:pt idx="56">
                  <c:v>4.3716998100280762</c:v>
                </c:pt>
                <c:pt idx="57">
                  <c:v>5.454899787902832</c:v>
                </c:pt>
                <c:pt idx="58">
                  <c:v>6.7330999374389648</c:v>
                </c:pt>
                <c:pt idx="59">
                  <c:v>6.2870001792907715</c:v>
                </c:pt>
                <c:pt idx="60">
                  <c:v>4.9752998352050781</c:v>
                </c:pt>
                <c:pt idx="61">
                  <c:v>6.0578999519348145</c:v>
                </c:pt>
                <c:pt idx="62">
                  <c:v>3.8980998992919922</c:v>
                </c:pt>
                <c:pt idx="63">
                  <c:v>5.7842998504638672</c:v>
                </c:pt>
                <c:pt idx="64">
                  <c:v>5.8408999443054199</c:v>
                </c:pt>
                <c:pt idx="65">
                  <c:v>5.5682997703552246</c:v>
                </c:pt>
                <c:pt idx="66">
                  <c:v>5.3164000511169434</c:v>
                </c:pt>
                <c:pt idx="67">
                  <c:v>5.3635001182556152</c:v>
                </c:pt>
                <c:pt idx="68">
                  <c:v>4.8316998481750488</c:v>
                </c:pt>
                <c:pt idx="69">
                  <c:v>6.0680999755859375</c:v>
                </c:pt>
                <c:pt idx="70">
                  <c:v>6.4911999702453613</c:v>
                </c:pt>
                <c:pt idx="71">
                  <c:v>5.9727001190185547</c:v>
                </c:pt>
                <c:pt idx="72">
                  <c:v>5.6950998306274414</c:v>
                </c:pt>
                <c:pt idx="73">
                  <c:v>6.6779999732971191</c:v>
                </c:pt>
                <c:pt idx="74">
                  <c:v>6.2838997840881348</c:v>
                </c:pt>
                <c:pt idx="75">
                  <c:v>6.0430002212524414</c:v>
                </c:pt>
                <c:pt idx="76">
                  <c:v>6.2719998359680176</c:v>
                </c:pt>
                <c:pt idx="77">
                  <c:v>5.8228001594543457</c:v>
                </c:pt>
                <c:pt idx="78">
                  <c:v>5.9335999488830566</c:v>
                </c:pt>
                <c:pt idx="79">
                  <c:v>5.3691000938415527</c:v>
                </c:pt>
                <c:pt idx="80">
                  <c:v>6.560999870300293</c:v>
                </c:pt>
                <c:pt idx="81">
                  <c:v>5.8158998489379883</c:v>
                </c:pt>
                <c:pt idx="82">
                  <c:v>3.5610001087188721</c:v>
                </c:pt>
                <c:pt idx="83">
                  <c:v>4.8730001449584961</c:v>
                </c:pt>
                <c:pt idx="84">
                  <c:v>5.7069997787475586</c:v>
                </c:pt>
                <c:pt idx="85">
                  <c:v>5.8769998550415039</c:v>
                </c:pt>
                <c:pt idx="86">
                  <c:v>5.6066999435424805</c:v>
                </c:pt>
                <c:pt idx="87">
                  <c:v>5.8417000770568848</c:v>
                </c:pt>
                <c:pt idx="88">
                  <c:v>6.749000072479248</c:v>
                </c:pt>
                <c:pt idx="89">
                  <c:v>6.3235001564025879</c:v>
                </c:pt>
                <c:pt idx="90">
                  <c:v>6.9046998023986816</c:v>
                </c:pt>
                <c:pt idx="91">
                  <c:v>6.5034999847412109</c:v>
                </c:pt>
                <c:pt idx="92">
                  <c:v>5.976099967956543</c:v>
                </c:pt>
                <c:pt idx="93">
                  <c:v>6.6090002059936523</c:v>
                </c:pt>
                <c:pt idx="94">
                  <c:v>5.7852997779846191</c:v>
                </c:pt>
                <c:pt idx="95">
                  <c:v>6.0598001480102539</c:v>
                </c:pt>
                <c:pt idx="96">
                  <c:v>7.1219000816345215</c:v>
                </c:pt>
                <c:pt idx="97">
                  <c:v>5.8164000511169434</c:v>
                </c:pt>
                <c:pt idx="98">
                  <c:v>6.5935001373291016</c:v>
                </c:pt>
                <c:pt idx="99">
                  <c:v>6.5227999687194824</c:v>
                </c:pt>
                <c:pt idx="100">
                  <c:v>6.9513998031616211</c:v>
                </c:pt>
                <c:pt idx="101">
                  <c:v>6.0296001434326172</c:v>
                </c:pt>
                <c:pt idx="102">
                  <c:v>6.3603000640869141</c:v>
                </c:pt>
                <c:pt idx="103">
                  <c:v>5.4219999313354492</c:v>
                </c:pt>
                <c:pt idx="104">
                  <c:v>6.9553999900817871</c:v>
                </c:pt>
                <c:pt idx="105">
                  <c:v>6.1880998611450195</c:v>
                </c:pt>
                <c:pt idx="106">
                  <c:v>6.7185001373291016</c:v>
                </c:pt>
                <c:pt idx="107">
                  <c:v>6.8379998207092285</c:v>
                </c:pt>
                <c:pt idx="108">
                  <c:v>6.4107999801635742</c:v>
                </c:pt>
                <c:pt idx="109">
                  <c:v>6.7248001098632813</c:v>
                </c:pt>
                <c:pt idx="110">
                  <c:v>6.3582000732421875</c:v>
                </c:pt>
                <c:pt idx="111">
                  <c:v>6.195000171661377</c:v>
                </c:pt>
                <c:pt idx="112">
                  <c:v>5.9765000343322754</c:v>
                </c:pt>
                <c:pt idx="113">
                  <c:v>6.441500186920166</c:v>
                </c:pt>
                <c:pt idx="114">
                  <c:v>7.0602002143859863</c:v>
                </c:pt>
                <c:pt idx="115">
                  <c:v>6.6114997863769531</c:v>
                </c:pt>
                <c:pt idx="116">
                  <c:v>6.8941998481750488</c:v>
                </c:pt>
                <c:pt idx="117">
                  <c:v>6.3457999229431152</c:v>
                </c:pt>
                <c:pt idx="118">
                  <c:v>5.9422998428344727</c:v>
                </c:pt>
                <c:pt idx="119">
                  <c:v>6.817500114440918</c:v>
                </c:pt>
                <c:pt idx="120">
                  <c:v>6.1875</c:v>
                </c:pt>
                <c:pt idx="121">
                  <c:v>6.8996000289916992</c:v>
                </c:pt>
                <c:pt idx="122">
                  <c:v>7.0569000244140625</c:v>
                </c:pt>
                <c:pt idx="123">
                  <c:v>7.3193998336791992</c:v>
                </c:pt>
                <c:pt idx="124">
                  <c:v>5.4626998901367188</c:v>
                </c:pt>
                <c:pt idx="125">
                  <c:v>6.4208998680114746</c:v>
                </c:pt>
                <c:pt idx="126">
                  <c:v>5.7135000228881836</c:v>
                </c:pt>
                <c:pt idx="127">
                  <c:v>7.3440999984741211</c:v>
                </c:pt>
                <c:pt idx="128">
                  <c:v>6.7432999610900879</c:v>
                </c:pt>
                <c:pt idx="129">
                  <c:v>6.2344999313354492</c:v>
                </c:pt>
                <c:pt idx="130">
                  <c:v>5.696199893951416</c:v>
                </c:pt>
                <c:pt idx="131">
                  <c:v>6.8218002319335938</c:v>
                </c:pt>
                <c:pt idx="132">
                  <c:v>7.3411002159118652</c:v>
                </c:pt>
                <c:pt idx="133">
                  <c:v>7.3017001152038574</c:v>
                </c:pt>
                <c:pt idx="134">
                  <c:v>7.5826997756958008</c:v>
                </c:pt>
                <c:pt idx="135">
                  <c:v>7.0292000770568848</c:v>
                </c:pt>
                <c:pt idx="136">
                  <c:v>6.447700023651123</c:v>
                </c:pt>
                <c:pt idx="137">
                  <c:v>6.0169000625610352</c:v>
                </c:pt>
                <c:pt idx="138">
                  <c:v>6.2571001052856445</c:v>
                </c:pt>
                <c:pt idx="139">
                  <c:v>7.7406997680664063</c:v>
                </c:pt>
                <c:pt idx="140">
                  <c:v>7.5251002311706543</c:v>
                </c:pt>
                <c:pt idx="141">
                  <c:v>5.9590997695922852</c:v>
                </c:pt>
                <c:pt idx="142">
                  <c:v>5.2807002067565918</c:v>
                </c:pt>
              </c:numCache>
            </c:numRef>
          </c:yVal>
          <c:smooth val="0"/>
          <c:extLst>
            <c:ext xmlns:c16="http://schemas.microsoft.com/office/drawing/2014/chart" uri="{C3380CC4-5D6E-409C-BE32-E72D297353CC}">
              <c16:uniqueId val="{00000000-ECE3-46AC-BD27-EE5FF69AAEBD}"/>
            </c:ext>
          </c:extLst>
        </c:ser>
        <c:dLbls>
          <c:showLegendKey val="0"/>
          <c:showVal val="0"/>
          <c:showCatName val="0"/>
          <c:showSerName val="0"/>
          <c:showPercent val="0"/>
          <c:showBubbleSize val="0"/>
        </c:dLbls>
        <c:axId val="2067509296"/>
        <c:axId val="2067504016"/>
      </c:scatterChart>
      <c:valAx>
        <c:axId val="2067509296"/>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12700" cap="flat" cmpd="sng" algn="ctr">
            <a:solidFill>
              <a:schemeClr val="lt1">
                <a:alpha val="25000"/>
              </a:schemeClr>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2067504016"/>
        <c:crosses val="autoZero"/>
        <c:crossBetween val="midCat"/>
      </c:valAx>
      <c:valAx>
        <c:axId val="2067504016"/>
        <c:scaling>
          <c:orientation val="minMax"/>
        </c:scaling>
        <c:delete val="0"/>
        <c:axPos val="l"/>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6750929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10 Happiest Countries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Tables'!$A$4:$A$14</c:f>
              <c:strCache>
                <c:ptCount val="11"/>
                <c:pt idx="0">
                  <c:v>Country</c:v>
                </c:pt>
                <c:pt idx="1">
                  <c:v>Finland</c:v>
                </c:pt>
                <c:pt idx="2">
                  <c:v>Denmark</c:v>
                </c:pt>
                <c:pt idx="3">
                  <c:v>Iceland</c:v>
                </c:pt>
                <c:pt idx="4">
                  <c:v>Sweden</c:v>
                </c:pt>
                <c:pt idx="5">
                  <c:v>Norway</c:v>
                </c:pt>
                <c:pt idx="6">
                  <c:v>Netherlands</c:v>
                </c:pt>
                <c:pt idx="7">
                  <c:v>Norway</c:v>
                </c:pt>
                <c:pt idx="8">
                  <c:v>Luxembourg</c:v>
                </c:pt>
                <c:pt idx="9">
                  <c:v>Switzerland</c:v>
                </c:pt>
                <c:pt idx="10">
                  <c:v>Australia</c:v>
                </c:pt>
              </c:strCache>
            </c:strRef>
          </c:cat>
          <c:val>
            <c:numRef>
              <c:f>'Pivot Tables'!$B$4:$B$14</c:f>
              <c:numCache>
                <c:formatCode>0.000</c:formatCode>
                <c:ptCount val="11"/>
                <c:pt idx="0" formatCode="General">
                  <c:v>0</c:v>
                </c:pt>
                <c:pt idx="1">
                  <c:v>7.7406997680664063</c:v>
                </c:pt>
                <c:pt idx="2">
                  <c:v>7.5826997756958008</c:v>
                </c:pt>
                <c:pt idx="3">
                  <c:v>7.5251002311706543</c:v>
                </c:pt>
                <c:pt idx="4">
                  <c:v>7.3440999984741211</c:v>
                </c:pt>
                <c:pt idx="5">
                  <c:v>7.3411002159118652</c:v>
                </c:pt>
                <c:pt idx="6">
                  <c:v>7.3193998336791992</c:v>
                </c:pt>
                <c:pt idx="7">
                  <c:v>7.3017001152038574</c:v>
                </c:pt>
                <c:pt idx="8">
                  <c:v>7.1219000816345215</c:v>
                </c:pt>
                <c:pt idx="9">
                  <c:v>7.0602002143859863</c:v>
                </c:pt>
                <c:pt idx="10">
                  <c:v>7.0569000244140625</c:v>
                </c:pt>
              </c:numCache>
            </c:numRef>
          </c:val>
          <c:extLst>
            <c:ext xmlns:c16="http://schemas.microsoft.com/office/drawing/2014/chart" uri="{C3380CC4-5D6E-409C-BE32-E72D297353CC}">
              <c16:uniqueId val="{00000000-8F88-4147-8FBF-53E5279E50CA}"/>
            </c:ext>
          </c:extLst>
        </c:ser>
        <c:dLbls>
          <c:dLblPos val="inEnd"/>
          <c:showLegendKey val="0"/>
          <c:showVal val="1"/>
          <c:showCatName val="0"/>
          <c:showSerName val="0"/>
          <c:showPercent val="0"/>
          <c:showBubbleSize val="0"/>
        </c:dLbls>
        <c:gapWidth val="65"/>
        <c:axId val="2067506416"/>
        <c:axId val="2067507856"/>
      </c:barChart>
      <c:catAx>
        <c:axId val="206750641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67507856"/>
        <c:crosses val="autoZero"/>
        <c:auto val="1"/>
        <c:lblAlgn val="ctr"/>
        <c:lblOffset val="100"/>
        <c:noMultiLvlLbl val="0"/>
      </c:catAx>
      <c:valAx>
        <c:axId val="206750785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67506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Happiness Score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Tables'!$B$17</c:f>
              <c:strCache>
                <c:ptCount val="1"/>
                <c:pt idx="0">
                  <c:v>Average Happiness Score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Tables'!$A$18:$A$27</c:f>
              <c:strCache>
                <c:ptCount val="10"/>
                <c:pt idx="0">
                  <c:v>Western Europe</c:v>
                </c:pt>
                <c:pt idx="1">
                  <c:v>Central &amp; Eastern Europe</c:v>
                </c:pt>
                <c:pt idx="2">
                  <c:v>North America &amp; ANZ</c:v>
                </c:pt>
                <c:pt idx="3">
                  <c:v>Latin America &amp; Caribbean</c:v>
                </c:pt>
                <c:pt idx="4">
                  <c:v>Middle East &amp; North Africa</c:v>
                </c:pt>
                <c:pt idx="5">
                  <c:v>East Asia</c:v>
                </c:pt>
                <c:pt idx="6">
                  <c:v>Southeast Asia</c:v>
                </c:pt>
                <c:pt idx="7">
                  <c:v>South Asia</c:v>
                </c:pt>
                <c:pt idx="8">
                  <c:v>Commonwealth of Independent States</c:v>
                </c:pt>
                <c:pt idx="9">
                  <c:v>Sub-Saharan Africa</c:v>
                </c:pt>
              </c:strCache>
            </c:strRef>
          </c:cat>
          <c:val>
            <c:numRef>
              <c:f>'Pivot Tables'!$B$18:$B$27</c:f>
              <c:numCache>
                <c:formatCode>0.000</c:formatCode>
                <c:ptCount val="10"/>
                <c:pt idx="0">
                  <c:v>6.8653238160269598</c:v>
                </c:pt>
                <c:pt idx="1">
                  <c:v>6.083921056044729</c:v>
                </c:pt>
                <c:pt idx="2">
                  <c:v>6.9276250600814819</c:v>
                </c:pt>
                <c:pt idx="3">
                  <c:v>6.143368394751298</c:v>
                </c:pt>
                <c:pt idx="4">
                  <c:v>5.0660562515258789</c:v>
                </c:pt>
                <c:pt idx="5">
                  <c:v>5.9344166914621992</c:v>
                </c:pt>
                <c:pt idx="6">
                  <c:v>5.5518999629550514</c:v>
                </c:pt>
                <c:pt idx="7">
                  <c:v>3.8957000176111856</c:v>
                </c:pt>
                <c:pt idx="8">
                  <c:v>5.5868750214576721</c:v>
                </c:pt>
                <c:pt idx="9">
                  <c:v>4.3297799723488941</c:v>
                </c:pt>
              </c:numCache>
            </c:numRef>
          </c:val>
          <c:extLst>
            <c:ext xmlns:c16="http://schemas.microsoft.com/office/drawing/2014/chart" uri="{C3380CC4-5D6E-409C-BE32-E72D297353CC}">
              <c16:uniqueId val="{00000000-795C-4F03-91F7-9BB4F48CDC04}"/>
            </c:ext>
          </c:extLst>
        </c:ser>
        <c:dLbls>
          <c:dLblPos val="inEnd"/>
          <c:showLegendKey val="0"/>
          <c:showVal val="1"/>
          <c:showCatName val="0"/>
          <c:showSerName val="0"/>
          <c:showPercent val="0"/>
          <c:showBubbleSize val="0"/>
        </c:dLbls>
        <c:gapWidth val="65"/>
        <c:axId val="2067509296"/>
        <c:axId val="2067509776"/>
      </c:barChart>
      <c:catAx>
        <c:axId val="206750929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67509776"/>
        <c:crosses val="autoZero"/>
        <c:auto val="1"/>
        <c:lblAlgn val="ctr"/>
        <c:lblOffset val="100"/>
        <c:noMultiLvlLbl val="0"/>
      </c:catAx>
      <c:valAx>
        <c:axId val="206750977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0" sourceLinked="1"/>
        <c:majorTickMark val="none"/>
        <c:minorTickMark val="none"/>
        <c:tickLblPos val="nextTo"/>
        <c:crossAx val="2067509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Distribution of Countries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tx>
            <c:strRef>
              <c:f>'Pivot Tables'!$G$17</c:f>
              <c:strCache>
                <c:ptCount val="1"/>
                <c:pt idx="0">
                  <c:v>Country Count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828-4DC4-AE47-4092B96211B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828-4DC4-AE47-4092B96211B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828-4DC4-AE47-4092B96211B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828-4DC4-AE47-4092B96211BF}"/>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3828-4DC4-AE47-4092B96211BF}"/>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3828-4DC4-AE47-4092B96211BF}"/>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3828-4DC4-AE47-4092B96211BF}"/>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3828-4DC4-AE47-4092B96211BF}"/>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3828-4DC4-AE47-4092B96211BF}"/>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3828-4DC4-AE47-4092B96211BF}"/>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Tables'!$F$18:$F$27</c:f>
              <c:strCache>
                <c:ptCount val="10"/>
                <c:pt idx="0">
                  <c:v>Western Europe</c:v>
                </c:pt>
                <c:pt idx="1">
                  <c:v>Central &amp; Eastern Europe</c:v>
                </c:pt>
                <c:pt idx="2">
                  <c:v>North America &amp; ANZ</c:v>
                </c:pt>
                <c:pt idx="3">
                  <c:v>Latin America &amp; Caribbean</c:v>
                </c:pt>
                <c:pt idx="4">
                  <c:v>Middle East &amp; North Africa</c:v>
                </c:pt>
                <c:pt idx="5">
                  <c:v>East Asia</c:v>
                </c:pt>
                <c:pt idx="6">
                  <c:v>Southeast Asia</c:v>
                </c:pt>
                <c:pt idx="7">
                  <c:v>South Asia</c:v>
                </c:pt>
                <c:pt idx="8">
                  <c:v>Commonwealth of Independent States</c:v>
                </c:pt>
                <c:pt idx="9">
                  <c:v>Sub-Saharan Africa</c:v>
                </c:pt>
              </c:strCache>
            </c:strRef>
          </c:cat>
          <c:val>
            <c:numRef>
              <c:f>'Pivot Tables'!$G$18:$G$27</c:f>
              <c:numCache>
                <c:formatCode>0</c:formatCode>
                <c:ptCount val="10"/>
                <c:pt idx="0">
                  <c:v>20</c:v>
                </c:pt>
                <c:pt idx="1">
                  <c:v>19</c:v>
                </c:pt>
                <c:pt idx="2">
                  <c:v>4</c:v>
                </c:pt>
                <c:pt idx="3">
                  <c:v>19</c:v>
                </c:pt>
                <c:pt idx="4">
                  <c:v>16</c:v>
                </c:pt>
                <c:pt idx="5">
                  <c:v>6</c:v>
                </c:pt>
                <c:pt idx="6">
                  <c:v>9</c:v>
                </c:pt>
                <c:pt idx="7">
                  <c:v>6</c:v>
                </c:pt>
                <c:pt idx="8">
                  <c:v>8</c:v>
                </c:pt>
                <c:pt idx="9">
                  <c:v>35</c:v>
                </c:pt>
              </c:numCache>
            </c:numRef>
          </c:val>
          <c:extLst>
            <c:ext xmlns:c16="http://schemas.microsoft.com/office/drawing/2014/chart" uri="{C3380CC4-5D6E-409C-BE32-E72D297353CC}">
              <c16:uniqueId val="{00000000-DA29-496D-9287-26A58809D07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Social Support vs Happiness Score</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scatterChart>
        <c:scatterStyle val="lineMarker"/>
        <c:varyColors val="0"/>
        <c:ser>
          <c:idx val="0"/>
          <c:order val="0"/>
          <c:tx>
            <c:strRef>
              <c:f>Charts!$X$1</c:f>
              <c:strCache>
                <c:ptCount val="1"/>
                <c:pt idx="0">
                  <c:v>Happiness Score</c:v>
                </c:pt>
              </c:strCache>
            </c:strRef>
          </c:tx>
          <c:spPr>
            <a:ln w="25400" cap="rnd">
              <a:noFill/>
              <a:round/>
            </a:ln>
            <a:effectLst/>
          </c:spPr>
          <c:marker>
            <c:symbol val="diamond"/>
            <c:size val="6"/>
            <c:spPr>
              <a:solidFill>
                <a:schemeClr val="lt1"/>
              </a:solidFill>
              <a:ln w="15875">
                <a:solidFill>
                  <a:schemeClr val="accent1"/>
                </a:solidFill>
                <a:round/>
              </a:ln>
              <a:effectLst/>
            </c:spPr>
          </c:marker>
          <c:xVal>
            <c:numRef>
              <c:f>Charts!$W$2:$W$144</c:f>
              <c:numCache>
                <c:formatCode>General</c:formatCode>
                <c:ptCount val="143"/>
                <c:pt idx="0">
                  <c:v>0</c:v>
                </c:pt>
                <c:pt idx="1">
                  <c:v>0.12834492325782776</c:v>
                </c:pt>
                <c:pt idx="2">
                  <c:v>0.24916358292102814</c:v>
                </c:pt>
                <c:pt idx="3">
                  <c:v>0.32799538969993591</c:v>
                </c:pt>
                <c:pt idx="4">
                  <c:v>0.41037529706954956</c:v>
                </c:pt>
                <c:pt idx="5">
                  <c:v>0.47105264663696289</c:v>
                </c:pt>
                <c:pt idx="6">
                  <c:v>0.56597745418548584</c:v>
                </c:pt>
                <c:pt idx="7">
                  <c:v>0.57671290636062622</c:v>
                </c:pt>
                <c:pt idx="8">
                  <c:v>0.57763051986694336</c:v>
                </c:pt>
                <c:pt idx="9">
                  <c:v>0.58610826730728149</c:v>
                </c:pt>
                <c:pt idx="10">
                  <c:v>0.60037744045257568</c:v>
                </c:pt>
                <c:pt idx="11">
                  <c:v>0.62161260843276978</c:v>
                </c:pt>
                <c:pt idx="12">
                  <c:v>0.6218869686126709</c:v>
                </c:pt>
                <c:pt idx="13">
                  <c:v>0.65266716480255127</c:v>
                </c:pt>
                <c:pt idx="14">
                  <c:v>0.66470003128051758</c:v>
                </c:pt>
                <c:pt idx="15">
                  <c:v>0.673256516456604</c:v>
                </c:pt>
                <c:pt idx="16">
                  <c:v>0.67738664150238037</c:v>
                </c:pt>
                <c:pt idx="17">
                  <c:v>0.68383723497390747</c:v>
                </c:pt>
                <c:pt idx="18">
                  <c:v>0.68505561351776123</c:v>
                </c:pt>
                <c:pt idx="19">
                  <c:v>0.68790453672409058</c:v>
                </c:pt>
                <c:pt idx="20">
                  <c:v>0.70462977886199951</c:v>
                </c:pt>
                <c:pt idx="21">
                  <c:v>0.70603954792022705</c:v>
                </c:pt>
                <c:pt idx="22">
                  <c:v>0.74714690446853638</c:v>
                </c:pt>
                <c:pt idx="23">
                  <c:v>0.75067895650863647</c:v>
                </c:pt>
                <c:pt idx="24">
                  <c:v>0.80541253089904785</c:v>
                </c:pt>
                <c:pt idx="25">
                  <c:v>0.80891859531402588</c:v>
                </c:pt>
                <c:pt idx="26">
                  <c:v>0.82349097728729248</c:v>
                </c:pt>
                <c:pt idx="27">
                  <c:v>0.84629791975021362</c:v>
                </c:pt>
                <c:pt idx="28">
                  <c:v>0.85008198022842407</c:v>
                </c:pt>
                <c:pt idx="29">
                  <c:v>0.85058730840682983</c:v>
                </c:pt>
                <c:pt idx="30">
                  <c:v>0.85600453615188599</c:v>
                </c:pt>
                <c:pt idx="31">
                  <c:v>0.87568622827529907</c:v>
                </c:pt>
                <c:pt idx="32">
                  <c:v>0.88307136297225952</c:v>
                </c:pt>
                <c:pt idx="33">
                  <c:v>0.89535057544708252</c:v>
                </c:pt>
                <c:pt idx="34">
                  <c:v>0.91491889953613281</c:v>
                </c:pt>
                <c:pt idx="35">
                  <c:v>0.9235725998878479</c:v>
                </c:pt>
                <c:pt idx="36">
                  <c:v>0.9251137375831604</c:v>
                </c:pt>
                <c:pt idx="37">
                  <c:v>0.94199999999999995</c:v>
                </c:pt>
                <c:pt idx="38">
                  <c:v>0.95469146966934204</c:v>
                </c:pt>
                <c:pt idx="39">
                  <c:v>0.96861052513122559</c:v>
                </c:pt>
                <c:pt idx="40">
                  <c:v>0.98295855522155762</c:v>
                </c:pt>
                <c:pt idx="41">
                  <c:v>0.98811346292495728</c:v>
                </c:pt>
                <c:pt idx="42">
                  <c:v>0.99001115560531616</c:v>
                </c:pt>
                <c:pt idx="43">
                  <c:v>0.99018365144729614</c:v>
                </c:pt>
                <c:pt idx="44">
                  <c:v>0.99585139751434326</c:v>
                </c:pt>
                <c:pt idx="45">
                  <c:v>0.99594837427139282</c:v>
                </c:pt>
                <c:pt idx="46">
                  <c:v>1.0185363292694092</c:v>
                </c:pt>
                <c:pt idx="47">
                  <c:v>1.0354576110839844</c:v>
                </c:pt>
                <c:pt idx="48">
                  <c:v>1.0376240015029907</c:v>
                </c:pt>
                <c:pt idx="49">
                  <c:v>1.0754878520965576</c:v>
                </c:pt>
                <c:pt idx="50">
                  <c:v>1.07977294921875</c:v>
                </c:pt>
                <c:pt idx="51">
                  <c:v>1.0999952554702759</c:v>
                </c:pt>
                <c:pt idx="52">
                  <c:v>1.1361976861953735</c:v>
                </c:pt>
                <c:pt idx="53">
                  <c:v>1.1434816122055054</c:v>
                </c:pt>
                <c:pt idx="54">
                  <c:v>1.1459598541259766</c:v>
                </c:pt>
                <c:pt idx="55">
                  <c:v>1.1506501436233521</c:v>
                </c:pt>
                <c:pt idx="56">
                  <c:v>1.1507896184921265</c:v>
                </c:pt>
                <c:pt idx="57">
                  <c:v>1.1544399261474609</c:v>
                </c:pt>
                <c:pt idx="58">
                  <c:v>1.163949728012085</c:v>
                </c:pt>
                <c:pt idx="59">
                  <c:v>1.1688857078552246</c:v>
                </c:pt>
                <c:pt idx="60">
                  <c:v>1.1750115156173706</c:v>
                </c:pt>
                <c:pt idx="61">
                  <c:v>1.1780478954315186</c:v>
                </c:pt>
                <c:pt idx="62">
                  <c:v>1.1786798238754272</c:v>
                </c:pt>
                <c:pt idx="63">
                  <c:v>1.1794114112854004</c:v>
                </c:pt>
                <c:pt idx="64">
                  <c:v>1.1799687147140503</c:v>
                </c:pt>
                <c:pt idx="65">
                  <c:v>1.1842628717422485</c:v>
                </c:pt>
                <c:pt idx="66">
                  <c:v>1.1844797134399414</c:v>
                </c:pt>
                <c:pt idx="67">
                  <c:v>1.1906074285507202</c:v>
                </c:pt>
                <c:pt idx="68">
                  <c:v>1.2120418548583984</c:v>
                </c:pt>
                <c:pt idx="69">
                  <c:v>1.2169917821884155</c:v>
                </c:pt>
                <c:pt idx="70">
                  <c:v>1.235722541809082</c:v>
                </c:pt>
                <c:pt idx="71">
                  <c:v>1.238689661026001</c:v>
                </c:pt>
                <c:pt idx="72">
                  <c:v>1.2406914234161377</c:v>
                </c:pt>
                <c:pt idx="73">
                  <c:v>1.2411946058273315</c:v>
                </c:pt>
                <c:pt idx="74">
                  <c:v>1.263219952583313</c:v>
                </c:pt>
                <c:pt idx="75">
                  <c:v>1.2670079469680786</c:v>
                </c:pt>
                <c:pt idx="76">
                  <c:v>1.26877760887146</c:v>
                </c:pt>
                <c:pt idx="77">
                  <c:v>1.2715129852294922</c:v>
                </c:pt>
                <c:pt idx="78">
                  <c:v>1.2760926485061646</c:v>
                </c:pt>
                <c:pt idx="79">
                  <c:v>1.2765878438949585</c:v>
                </c:pt>
                <c:pt idx="80">
                  <c:v>1.2768206596374512</c:v>
                </c:pt>
                <c:pt idx="81">
                  <c:v>1.277184009552002</c:v>
                </c:pt>
                <c:pt idx="82">
                  <c:v>1.2814736366271973</c:v>
                </c:pt>
                <c:pt idx="83">
                  <c:v>1.3152741193771362</c:v>
                </c:pt>
                <c:pt idx="84">
                  <c:v>1.3179855346679688</c:v>
                </c:pt>
                <c:pt idx="85">
                  <c:v>1.3181260824203491</c:v>
                </c:pt>
                <c:pt idx="86">
                  <c:v>1.3213502168655396</c:v>
                </c:pt>
                <c:pt idx="87">
                  <c:v>1.3238065242767334</c:v>
                </c:pt>
                <c:pt idx="88">
                  <c:v>1.3261128664016724</c:v>
                </c:pt>
                <c:pt idx="89">
                  <c:v>1.328234076499939</c:v>
                </c:pt>
                <c:pt idx="90">
                  <c:v>1.3363960981369019</c:v>
                </c:pt>
                <c:pt idx="91">
                  <c:v>1.3458658456802368</c:v>
                </c:pt>
                <c:pt idx="92">
                  <c:v>1.3467154502868652</c:v>
                </c:pt>
                <c:pt idx="93">
                  <c:v>1.3481022119522095</c:v>
                </c:pt>
                <c:pt idx="94">
                  <c:v>1.3511909246444702</c:v>
                </c:pt>
                <c:pt idx="95">
                  <c:v>1.3543787002563477</c:v>
                </c:pt>
                <c:pt idx="96">
                  <c:v>1.3546255826950073</c:v>
                </c:pt>
                <c:pt idx="97">
                  <c:v>1.3577836751937866</c:v>
                </c:pt>
                <c:pt idx="98">
                  <c:v>1.3606481552124023</c:v>
                </c:pt>
                <c:pt idx="99">
                  <c:v>1.3612234592437744</c:v>
                </c:pt>
                <c:pt idx="100">
                  <c:v>1.3636543750762939</c:v>
                </c:pt>
                <c:pt idx="101">
                  <c:v>1.3677244186401367</c:v>
                </c:pt>
                <c:pt idx="102">
                  <c:v>1.3689835071563721</c:v>
                </c:pt>
                <c:pt idx="103">
                  <c:v>1.3692620992660522</c:v>
                </c:pt>
                <c:pt idx="104">
                  <c:v>1.3730103969573975</c:v>
                </c:pt>
                <c:pt idx="105">
                  <c:v>1.3813045024871826</c:v>
                </c:pt>
                <c:pt idx="106">
                  <c:v>1.3896832466125488</c:v>
                </c:pt>
                <c:pt idx="107">
                  <c:v>1.3898677825927734</c:v>
                </c:pt>
                <c:pt idx="108">
                  <c:v>1.3914881944656372</c:v>
                </c:pt>
                <c:pt idx="109">
                  <c:v>1.3917354345321655</c:v>
                </c:pt>
                <c:pt idx="110">
                  <c:v>1.3919932842254639</c:v>
                </c:pt>
                <c:pt idx="111">
                  <c:v>1.3944715261459351</c:v>
                </c:pt>
                <c:pt idx="112">
                  <c:v>1.4080097675323486</c:v>
                </c:pt>
                <c:pt idx="113">
                  <c:v>1.417370080947876</c:v>
                </c:pt>
                <c:pt idx="114">
                  <c:v>1.4249322414398193</c:v>
                </c:pt>
                <c:pt idx="115">
                  <c:v>1.4314388036727905</c:v>
                </c:pt>
                <c:pt idx="116">
                  <c:v>1.4404232501983643</c:v>
                </c:pt>
                <c:pt idx="117">
                  <c:v>1.4435973167419434</c:v>
                </c:pt>
                <c:pt idx="118">
                  <c:v>1.4447548389434814</c:v>
                </c:pt>
                <c:pt idx="119">
                  <c:v>1.4535820484161377</c:v>
                </c:pt>
                <c:pt idx="120">
                  <c:v>1.4566448926925659</c:v>
                </c:pt>
                <c:pt idx="121">
                  <c:v>1.4586304426193237</c:v>
                </c:pt>
                <c:pt idx="122">
                  <c:v>1.4610912799835205</c:v>
                </c:pt>
                <c:pt idx="123">
                  <c:v>1.4620469808578491</c:v>
                </c:pt>
                <c:pt idx="124">
                  <c:v>1.4687789678573608</c:v>
                </c:pt>
                <c:pt idx="125">
                  <c:v>1.4706276655197144</c:v>
                </c:pt>
                <c:pt idx="126">
                  <c:v>1.4769147634506226</c:v>
                </c:pt>
                <c:pt idx="127">
                  <c:v>1.5008261203765869</c:v>
                </c:pt>
                <c:pt idx="128">
                  <c:v>1.5022037029266357</c:v>
                </c:pt>
                <c:pt idx="129">
                  <c:v>1.5084776878356934</c:v>
                </c:pt>
                <c:pt idx="130">
                  <c:v>1.5106477737426758</c:v>
                </c:pt>
                <c:pt idx="131">
                  <c:v>1.5110107660293579</c:v>
                </c:pt>
                <c:pt idx="132">
                  <c:v>1.5127928256988525</c:v>
                </c:pt>
                <c:pt idx="133">
                  <c:v>1.5165399312973022</c:v>
                </c:pt>
                <c:pt idx="134">
                  <c:v>1.5203613042831421</c:v>
                </c:pt>
                <c:pt idx="135">
                  <c:v>1.5269402265548706</c:v>
                </c:pt>
                <c:pt idx="136">
                  <c:v>1.5270930528640747</c:v>
                </c:pt>
                <c:pt idx="137">
                  <c:v>1.5282142162322998</c:v>
                </c:pt>
                <c:pt idx="138">
                  <c:v>1.5402960777282715</c:v>
                </c:pt>
                <c:pt idx="139">
                  <c:v>1.5723668336868286</c:v>
                </c:pt>
                <c:pt idx="140">
                  <c:v>1.616525411605835</c:v>
                </c:pt>
                <c:pt idx="141">
                  <c:v>0</c:v>
                </c:pt>
                <c:pt idx="142">
                  <c:v>0</c:v>
                </c:pt>
              </c:numCache>
            </c:numRef>
          </c:xVal>
          <c:yVal>
            <c:numRef>
              <c:f>Charts!$X$2:$X$144</c:f>
              <c:numCache>
                <c:formatCode>General</c:formatCode>
                <c:ptCount val="143"/>
                <c:pt idx="0">
                  <c:v>1.7209999561309814</c:v>
                </c:pt>
                <c:pt idx="1">
                  <c:v>4.3773999214172363</c:v>
                </c:pt>
                <c:pt idx="2">
                  <c:v>3.8859000205993652</c:v>
                </c:pt>
                <c:pt idx="3">
                  <c:v>3.5662999153137207</c:v>
                </c:pt>
                <c:pt idx="4">
                  <c:v>3.4210000038146973</c:v>
                </c:pt>
                <c:pt idx="5">
                  <c:v>4.7947001457214355</c:v>
                </c:pt>
                <c:pt idx="6">
                  <c:v>3.2451999187469482</c:v>
                </c:pt>
                <c:pt idx="7">
                  <c:v>2.7065000534057617</c:v>
                </c:pt>
                <c:pt idx="8">
                  <c:v>5.0801000595092773</c:v>
                </c:pt>
                <c:pt idx="9">
                  <c:v>4.2140998840332031</c:v>
                </c:pt>
                <c:pt idx="10">
                  <c:v>4.6567001342773438</c:v>
                </c:pt>
                <c:pt idx="11">
                  <c:v>5.0233001708984375</c:v>
                </c:pt>
                <c:pt idx="12">
                  <c:v>5.2214999198913574</c:v>
                </c:pt>
                <c:pt idx="13">
                  <c:v>4.0541000366210938</c:v>
                </c:pt>
                <c:pt idx="14">
                  <c:v>3.2953999042510986</c:v>
                </c:pt>
                <c:pt idx="15">
                  <c:v>4.2685999870300293</c:v>
                </c:pt>
                <c:pt idx="16">
                  <c:v>4.556300163269043</c:v>
                </c:pt>
                <c:pt idx="17">
                  <c:v>4.4848999977111816</c:v>
                </c:pt>
                <c:pt idx="18">
                  <c:v>4.5479998588562012</c:v>
                </c:pt>
                <c:pt idx="19">
                  <c:v>4.2319998741149902</c:v>
                </c:pt>
                <c:pt idx="20">
                  <c:v>4.5050997734069824</c:v>
                </c:pt>
                <c:pt idx="21">
                  <c:v>3.7806000709533691</c:v>
                </c:pt>
                <c:pt idx="22">
                  <c:v>4.2894001007080078</c:v>
                </c:pt>
                <c:pt idx="23">
                  <c:v>4.968599796295166</c:v>
                </c:pt>
                <c:pt idx="24">
                  <c:v>4.4713001251220703</c:v>
                </c:pt>
                <c:pt idx="25">
                  <c:v>3.5023999214172363</c:v>
                </c:pt>
                <c:pt idx="26">
                  <c:v>4.2279000282287598</c:v>
                </c:pt>
                <c:pt idx="27">
                  <c:v>5.1388998031616211</c:v>
                </c:pt>
                <c:pt idx="28">
                  <c:v>3.3410999774932861</c:v>
                </c:pt>
                <c:pt idx="29">
                  <c:v>3.1861999034881592</c:v>
                </c:pt>
                <c:pt idx="30">
                  <c:v>4.8744001388549805</c:v>
                </c:pt>
                <c:pt idx="31">
                  <c:v>4.8934001922607422</c:v>
                </c:pt>
                <c:pt idx="32">
                  <c:v>5.216400146484375</c:v>
                </c:pt>
                <c:pt idx="33">
                  <c:v>4.4696002006530762</c:v>
                </c:pt>
                <c:pt idx="34">
                  <c:v>3.8608999252319336</c:v>
                </c:pt>
                <c:pt idx="35">
                  <c:v>5.3042001724243164</c:v>
                </c:pt>
                <c:pt idx="36">
                  <c:v>3.502000093460083</c:v>
                </c:pt>
                <c:pt idx="37">
                  <c:v>4.8794999122619629</c:v>
                </c:pt>
                <c:pt idx="38">
                  <c:v>4.4218001365661621</c:v>
                </c:pt>
                <c:pt idx="39">
                  <c:v>3.3833999633789063</c:v>
                </c:pt>
                <c:pt idx="40">
                  <c:v>4.1858000755310059</c:v>
                </c:pt>
                <c:pt idx="41">
                  <c:v>4.3544998168945313</c:v>
                </c:pt>
                <c:pt idx="42">
                  <c:v>5.1847000122070313</c:v>
                </c:pt>
                <c:pt idx="43">
                  <c:v>5.1584000587463379</c:v>
                </c:pt>
                <c:pt idx="44">
                  <c:v>3.9765999317169189</c:v>
                </c:pt>
                <c:pt idx="45">
                  <c:v>5.1659998893737793</c:v>
                </c:pt>
                <c:pt idx="46">
                  <c:v>4.3407001495361328</c:v>
                </c:pt>
                <c:pt idx="47">
                  <c:v>5.9684000015258789</c:v>
                </c:pt>
                <c:pt idx="48">
                  <c:v>5.106299877166748</c:v>
                </c:pt>
                <c:pt idx="49">
                  <c:v>4.8807997703552246</c:v>
                </c:pt>
                <c:pt idx="50">
                  <c:v>6.4686999320983887</c:v>
                </c:pt>
                <c:pt idx="51">
                  <c:v>5.866300106048584</c:v>
                </c:pt>
                <c:pt idx="52">
                  <c:v>4.9228000640869141</c:v>
                </c:pt>
                <c:pt idx="53">
                  <c:v>5.9752001762390137</c:v>
                </c:pt>
                <c:pt idx="54">
                  <c:v>6.0475997924804688</c:v>
                </c:pt>
                <c:pt idx="55">
                  <c:v>5.7245001792907715</c:v>
                </c:pt>
                <c:pt idx="56">
                  <c:v>4.3716998100280762</c:v>
                </c:pt>
                <c:pt idx="57">
                  <c:v>5.454899787902832</c:v>
                </c:pt>
                <c:pt idx="58">
                  <c:v>6.7330999374389648</c:v>
                </c:pt>
                <c:pt idx="59">
                  <c:v>6.2870001792907715</c:v>
                </c:pt>
                <c:pt idx="60">
                  <c:v>4.9752998352050781</c:v>
                </c:pt>
                <c:pt idx="61">
                  <c:v>6.0578999519348145</c:v>
                </c:pt>
                <c:pt idx="62">
                  <c:v>3.8980998992919922</c:v>
                </c:pt>
                <c:pt idx="63">
                  <c:v>5.7842998504638672</c:v>
                </c:pt>
                <c:pt idx="64">
                  <c:v>5.8408999443054199</c:v>
                </c:pt>
                <c:pt idx="65">
                  <c:v>5.5682997703552246</c:v>
                </c:pt>
                <c:pt idx="66">
                  <c:v>5.3164000511169434</c:v>
                </c:pt>
                <c:pt idx="67">
                  <c:v>5.3635001182556152</c:v>
                </c:pt>
                <c:pt idx="68">
                  <c:v>4.8316998481750488</c:v>
                </c:pt>
                <c:pt idx="69">
                  <c:v>6.0680999755859375</c:v>
                </c:pt>
                <c:pt idx="70">
                  <c:v>6.4911999702453613</c:v>
                </c:pt>
                <c:pt idx="71">
                  <c:v>5.9727001190185547</c:v>
                </c:pt>
                <c:pt idx="72">
                  <c:v>5.6950998306274414</c:v>
                </c:pt>
                <c:pt idx="73">
                  <c:v>6.6779999732971191</c:v>
                </c:pt>
                <c:pt idx="74">
                  <c:v>6.2838997840881348</c:v>
                </c:pt>
                <c:pt idx="75">
                  <c:v>6.0430002212524414</c:v>
                </c:pt>
                <c:pt idx="76">
                  <c:v>6.2719998359680176</c:v>
                </c:pt>
                <c:pt idx="77">
                  <c:v>5.8228001594543457</c:v>
                </c:pt>
                <c:pt idx="78">
                  <c:v>5.9335999488830566</c:v>
                </c:pt>
                <c:pt idx="79">
                  <c:v>5.3691000938415527</c:v>
                </c:pt>
                <c:pt idx="80">
                  <c:v>6.560999870300293</c:v>
                </c:pt>
                <c:pt idx="81">
                  <c:v>5.8158998489379883</c:v>
                </c:pt>
                <c:pt idx="82">
                  <c:v>3.5610001087188721</c:v>
                </c:pt>
                <c:pt idx="83">
                  <c:v>4.8730001449584961</c:v>
                </c:pt>
                <c:pt idx="84">
                  <c:v>5.7069997787475586</c:v>
                </c:pt>
                <c:pt idx="85">
                  <c:v>5.8769998550415039</c:v>
                </c:pt>
                <c:pt idx="86">
                  <c:v>5.6066999435424805</c:v>
                </c:pt>
                <c:pt idx="87">
                  <c:v>5.8417000770568848</c:v>
                </c:pt>
                <c:pt idx="88">
                  <c:v>6.749000072479248</c:v>
                </c:pt>
                <c:pt idx="89">
                  <c:v>6.3235001564025879</c:v>
                </c:pt>
                <c:pt idx="90">
                  <c:v>6.9046998023986816</c:v>
                </c:pt>
                <c:pt idx="91">
                  <c:v>6.5034999847412109</c:v>
                </c:pt>
                <c:pt idx="92">
                  <c:v>5.976099967956543</c:v>
                </c:pt>
                <c:pt idx="93">
                  <c:v>6.6090002059936523</c:v>
                </c:pt>
                <c:pt idx="94">
                  <c:v>5.7852997779846191</c:v>
                </c:pt>
                <c:pt idx="95">
                  <c:v>6.0598001480102539</c:v>
                </c:pt>
                <c:pt idx="96">
                  <c:v>7.1219000816345215</c:v>
                </c:pt>
                <c:pt idx="97">
                  <c:v>5.8164000511169434</c:v>
                </c:pt>
                <c:pt idx="98">
                  <c:v>6.5935001373291016</c:v>
                </c:pt>
                <c:pt idx="99">
                  <c:v>6.5227999687194824</c:v>
                </c:pt>
                <c:pt idx="100">
                  <c:v>6.9513998031616211</c:v>
                </c:pt>
                <c:pt idx="101">
                  <c:v>6.0296001434326172</c:v>
                </c:pt>
                <c:pt idx="102">
                  <c:v>6.3603000640869141</c:v>
                </c:pt>
                <c:pt idx="103">
                  <c:v>5.4219999313354492</c:v>
                </c:pt>
                <c:pt idx="104">
                  <c:v>6.9553999900817871</c:v>
                </c:pt>
                <c:pt idx="105">
                  <c:v>6.1880998611450195</c:v>
                </c:pt>
                <c:pt idx="106">
                  <c:v>6.7185001373291016</c:v>
                </c:pt>
                <c:pt idx="107">
                  <c:v>6.8379998207092285</c:v>
                </c:pt>
                <c:pt idx="108">
                  <c:v>6.4107999801635742</c:v>
                </c:pt>
                <c:pt idx="109">
                  <c:v>6.7248001098632813</c:v>
                </c:pt>
                <c:pt idx="110">
                  <c:v>6.3582000732421875</c:v>
                </c:pt>
                <c:pt idx="111">
                  <c:v>6.195000171661377</c:v>
                </c:pt>
                <c:pt idx="112">
                  <c:v>5.9765000343322754</c:v>
                </c:pt>
                <c:pt idx="113">
                  <c:v>6.441500186920166</c:v>
                </c:pt>
                <c:pt idx="114">
                  <c:v>7.0602002143859863</c:v>
                </c:pt>
                <c:pt idx="115">
                  <c:v>6.6114997863769531</c:v>
                </c:pt>
                <c:pt idx="116">
                  <c:v>6.8941998481750488</c:v>
                </c:pt>
                <c:pt idx="117">
                  <c:v>6.3457999229431152</c:v>
                </c:pt>
                <c:pt idx="118">
                  <c:v>5.9422998428344727</c:v>
                </c:pt>
                <c:pt idx="119">
                  <c:v>6.817500114440918</c:v>
                </c:pt>
                <c:pt idx="120">
                  <c:v>6.1875</c:v>
                </c:pt>
                <c:pt idx="121">
                  <c:v>6.8996000289916992</c:v>
                </c:pt>
                <c:pt idx="122">
                  <c:v>7.0569000244140625</c:v>
                </c:pt>
                <c:pt idx="123">
                  <c:v>7.3193998336791992</c:v>
                </c:pt>
                <c:pt idx="124">
                  <c:v>5.4626998901367188</c:v>
                </c:pt>
                <c:pt idx="125">
                  <c:v>6.4208998680114746</c:v>
                </c:pt>
                <c:pt idx="126">
                  <c:v>5.7135000228881836</c:v>
                </c:pt>
                <c:pt idx="127">
                  <c:v>7.3440999984741211</c:v>
                </c:pt>
                <c:pt idx="128">
                  <c:v>6.7432999610900879</c:v>
                </c:pt>
                <c:pt idx="129">
                  <c:v>6.2344999313354492</c:v>
                </c:pt>
                <c:pt idx="130">
                  <c:v>5.696199893951416</c:v>
                </c:pt>
                <c:pt idx="131">
                  <c:v>6.8218002319335938</c:v>
                </c:pt>
                <c:pt idx="132">
                  <c:v>7.3411002159118652</c:v>
                </c:pt>
                <c:pt idx="133">
                  <c:v>7.3017001152038574</c:v>
                </c:pt>
                <c:pt idx="134">
                  <c:v>7.5826997756958008</c:v>
                </c:pt>
                <c:pt idx="135">
                  <c:v>7.0292000770568848</c:v>
                </c:pt>
                <c:pt idx="136">
                  <c:v>6.447700023651123</c:v>
                </c:pt>
                <c:pt idx="137">
                  <c:v>6.0169000625610352</c:v>
                </c:pt>
                <c:pt idx="138">
                  <c:v>6.2571001052856445</c:v>
                </c:pt>
                <c:pt idx="139">
                  <c:v>7.7406997680664063</c:v>
                </c:pt>
                <c:pt idx="140">
                  <c:v>7.5251002311706543</c:v>
                </c:pt>
                <c:pt idx="141">
                  <c:v>5.9590997695922852</c:v>
                </c:pt>
                <c:pt idx="142">
                  <c:v>5.2807002067565918</c:v>
                </c:pt>
              </c:numCache>
            </c:numRef>
          </c:yVal>
          <c:smooth val="0"/>
          <c:extLst>
            <c:ext xmlns:c16="http://schemas.microsoft.com/office/drawing/2014/chart" uri="{C3380CC4-5D6E-409C-BE32-E72D297353CC}">
              <c16:uniqueId val="{00000000-DB53-45DB-920F-AF9DC7B4927E}"/>
            </c:ext>
          </c:extLst>
        </c:ser>
        <c:dLbls>
          <c:showLegendKey val="0"/>
          <c:showVal val="0"/>
          <c:showCatName val="0"/>
          <c:showSerName val="0"/>
          <c:showPercent val="0"/>
          <c:showBubbleSize val="0"/>
        </c:dLbls>
        <c:axId val="2067546736"/>
        <c:axId val="1897132688"/>
      </c:scatterChart>
      <c:valAx>
        <c:axId val="206754673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897132688"/>
        <c:crosses val="autoZero"/>
        <c:crossBetween val="midCat"/>
      </c:valAx>
      <c:valAx>
        <c:axId val="189713268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067546736"/>
        <c:crosses val="autoZero"/>
        <c:crossBetween val="midCat"/>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GDP per Capita vs Happiness Score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Charts!$S$1</c:f>
              <c:strCache>
                <c:ptCount val="1"/>
                <c:pt idx="0">
                  <c:v>GDP per Capita</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Charts!$R$2:$R$144</c:f>
              <c:strCache>
                <c:ptCount val="143"/>
                <c:pt idx="0">
                  <c:v>Venezuela</c:v>
                </c:pt>
                <c:pt idx="1">
                  <c:v>Congo (Kinshasa)</c:v>
                </c:pt>
                <c:pt idx="2">
                  <c:v>Mozambique</c:v>
                </c:pt>
                <c:pt idx="3">
                  <c:v>Niger</c:v>
                </c:pt>
                <c:pt idx="4">
                  <c:v>Chad</c:v>
                </c:pt>
                <c:pt idx="5">
                  <c:v>Malawi</c:v>
                </c:pt>
                <c:pt idx="6">
                  <c:v>Liberia</c:v>
                </c:pt>
                <c:pt idx="7">
                  <c:v>Madagascar</c:v>
                </c:pt>
                <c:pt idx="8">
                  <c:v>Afghanistan</c:v>
                </c:pt>
                <c:pt idx="9">
                  <c:v>Sierra Leone</c:v>
                </c:pt>
                <c:pt idx="10">
                  <c:v>Yemen</c:v>
                </c:pt>
                <c:pt idx="11">
                  <c:v>Mali</c:v>
                </c:pt>
                <c:pt idx="12">
                  <c:v>Zimbabwe</c:v>
                </c:pt>
                <c:pt idx="13">
                  <c:v>Gambia</c:v>
                </c:pt>
                <c:pt idx="14">
                  <c:v>Burkina Faso</c:v>
                </c:pt>
                <c:pt idx="15">
                  <c:v>Togo</c:v>
                </c:pt>
                <c:pt idx="16">
                  <c:v>Lesotho</c:v>
                </c:pt>
                <c:pt idx="17">
                  <c:v>Uganda</c:v>
                </c:pt>
                <c:pt idx="18">
                  <c:v>Ethiopia</c:v>
                </c:pt>
                <c:pt idx="19">
                  <c:v>Tanzania</c:v>
                </c:pt>
                <c:pt idx="20">
                  <c:v>Guinea</c:v>
                </c:pt>
                <c:pt idx="21">
                  <c:v>Congo (Brazzaville)</c:v>
                </c:pt>
                <c:pt idx="22">
                  <c:v>Comoros</c:v>
                </c:pt>
                <c:pt idx="23">
                  <c:v>Zambia</c:v>
                </c:pt>
                <c:pt idx="24">
                  <c:v>Benin</c:v>
                </c:pt>
                <c:pt idx="25">
                  <c:v>Senegal</c:v>
                </c:pt>
                <c:pt idx="26">
                  <c:v>Cameroon</c:v>
                </c:pt>
                <c:pt idx="27">
                  <c:v>Nepal</c:v>
                </c:pt>
                <c:pt idx="28">
                  <c:v>Myanmar</c:v>
                </c:pt>
                <c:pt idx="29">
                  <c:v>Cambodia</c:v>
                </c:pt>
                <c:pt idx="30">
                  <c:v>Kenya</c:v>
                </c:pt>
                <c:pt idx="31">
                  <c:v>Nigeria</c:v>
                </c:pt>
                <c:pt idx="32">
                  <c:v>Kyrgyzstan</c:v>
                </c:pt>
                <c:pt idx="33">
                  <c:v>Pakistan</c:v>
                </c:pt>
                <c:pt idx="34">
                  <c:v>Ghana</c:v>
                </c:pt>
                <c:pt idx="35">
                  <c:v>Mauritania</c:v>
                </c:pt>
                <c:pt idx="36">
                  <c:v>Ivory Coast</c:v>
                </c:pt>
                <c:pt idx="37">
                  <c:v>Honduras</c:v>
                </c:pt>
                <c:pt idx="38">
                  <c:v>Nicaragua</c:v>
                </c:pt>
                <c:pt idx="39">
                  <c:v>Bangladesh</c:v>
                </c:pt>
                <c:pt idx="40">
                  <c:v>India</c:v>
                </c:pt>
                <c:pt idx="41">
                  <c:v>Laos</c:v>
                </c:pt>
                <c:pt idx="42">
                  <c:v>Uzbekistan</c:v>
                </c:pt>
                <c:pt idx="43">
                  <c:v>Palestine</c:v>
                </c:pt>
                <c:pt idx="44">
                  <c:v>Morocco</c:v>
                </c:pt>
                <c:pt idx="45">
                  <c:v>Bolivia</c:v>
                </c:pt>
                <c:pt idx="46">
                  <c:v>Philippines</c:v>
                </c:pt>
                <c:pt idx="47">
                  <c:v>Iraq</c:v>
                </c:pt>
                <c:pt idx="48">
                  <c:v>Eswatini</c:v>
                </c:pt>
                <c:pt idx="49">
                  <c:v>Guatemala</c:v>
                </c:pt>
                <c:pt idx="50">
                  <c:v>Jordan</c:v>
                </c:pt>
                <c:pt idx="51">
                  <c:v>El Salvador</c:v>
                </c:pt>
                <c:pt idx="52">
                  <c:v>Namibia</c:v>
                </c:pt>
                <c:pt idx="53">
                  <c:v>Jamaica</c:v>
                </c:pt>
                <c:pt idx="54">
                  <c:v>Tunisia</c:v>
                </c:pt>
                <c:pt idx="55">
                  <c:v>Ecuador</c:v>
                </c:pt>
                <c:pt idx="56">
                  <c:v>Algeria</c:v>
                </c:pt>
                <c:pt idx="57">
                  <c:v>Vietnam</c:v>
                </c:pt>
                <c:pt idx="58">
                  <c:v>Ukraine</c:v>
                </c:pt>
                <c:pt idx="59">
                  <c:v>Mongolia</c:v>
                </c:pt>
                <c:pt idx="60">
                  <c:v>Sri Lanka</c:v>
                </c:pt>
                <c:pt idx="61">
                  <c:v>Indonesia</c:v>
                </c:pt>
                <c:pt idx="62">
                  <c:v>Kosovo</c:v>
                </c:pt>
                <c:pt idx="63">
                  <c:v>Egypt</c:v>
                </c:pt>
                <c:pt idx="64">
                  <c:v>Peru</c:v>
                </c:pt>
                <c:pt idx="65">
                  <c:v>Lebanon</c:v>
                </c:pt>
                <c:pt idx="66">
                  <c:v>Moldova</c:v>
                </c:pt>
                <c:pt idx="67">
                  <c:v>South Africa</c:v>
                </c:pt>
                <c:pt idx="68">
                  <c:v>Paraguay</c:v>
                </c:pt>
                <c:pt idx="69">
                  <c:v>Gabon</c:v>
                </c:pt>
                <c:pt idx="70">
                  <c:v>Brazil</c:v>
                </c:pt>
                <c:pt idx="71">
                  <c:v>Azerbaijan</c:v>
                </c:pt>
                <c:pt idx="72">
                  <c:v>Iran</c:v>
                </c:pt>
                <c:pt idx="73">
                  <c:v>Colombia</c:v>
                </c:pt>
                <c:pt idx="74">
                  <c:v>Albania</c:v>
                </c:pt>
                <c:pt idx="75">
                  <c:v>Armenia</c:v>
                </c:pt>
                <c:pt idx="76">
                  <c:v>Botswana</c:v>
                </c:pt>
                <c:pt idx="77">
                  <c:v>Bosnia and Herzegovina</c:v>
                </c:pt>
                <c:pt idx="78">
                  <c:v>Georgia</c:v>
                </c:pt>
                <c:pt idx="79">
                  <c:v>North Macedonia</c:v>
                </c:pt>
                <c:pt idx="80">
                  <c:v>Thailand</c:v>
                </c:pt>
                <c:pt idx="81">
                  <c:v>China</c:v>
                </c:pt>
                <c:pt idx="82">
                  <c:v>Dominican Republic</c:v>
                </c:pt>
                <c:pt idx="83">
                  <c:v>Mexico</c:v>
                </c:pt>
                <c:pt idx="84">
                  <c:v>Libya</c:v>
                </c:pt>
                <c:pt idx="85">
                  <c:v>Serbia</c:v>
                </c:pt>
                <c:pt idx="86">
                  <c:v>Costa Rica</c:v>
                </c:pt>
                <c:pt idx="87">
                  <c:v>Argentina</c:v>
                </c:pt>
                <c:pt idx="88">
                  <c:v>Mauritius</c:v>
                </c:pt>
                <c:pt idx="89">
                  <c:v>Montenegro</c:v>
                </c:pt>
                <c:pt idx="90">
                  <c:v>Uruguay</c:v>
                </c:pt>
                <c:pt idx="91">
                  <c:v>Chile</c:v>
                </c:pt>
                <c:pt idx="92">
                  <c:v>Kazakhstan</c:v>
                </c:pt>
                <c:pt idx="93">
                  <c:v>Bulgaria</c:v>
                </c:pt>
                <c:pt idx="94">
                  <c:v>Russia</c:v>
                </c:pt>
                <c:pt idx="95">
                  <c:v>Malaysia</c:v>
                </c:pt>
                <c:pt idx="96">
                  <c:v>Greece</c:v>
                </c:pt>
                <c:pt idx="97">
                  <c:v>Romania</c:v>
                </c:pt>
                <c:pt idx="98">
                  <c:v>Latvia</c:v>
                </c:pt>
                <c:pt idx="99">
                  <c:v>Turkiye</c:v>
                </c:pt>
                <c:pt idx="100">
                  <c:v>Panama</c:v>
                </c:pt>
                <c:pt idx="101">
                  <c:v>Slovakia</c:v>
                </c:pt>
                <c:pt idx="102">
                  <c:v>Croatia</c:v>
                </c:pt>
                <c:pt idx="103">
                  <c:v>Hungary</c:v>
                </c:pt>
                <c:pt idx="104">
                  <c:v>Portugal</c:v>
                </c:pt>
                <c:pt idx="105">
                  <c:v>Poland</c:v>
                </c:pt>
                <c:pt idx="106">
                  <c:v>Estonia</c:v>
                </c:pt>
                <c:pt idx="107">
                  <c:v>Lithuania</c:v>
                </c:pt>
                <c:pt idx="108">
                  <c:v>Spain</c:v>
                </c:pt>
                <c:pt idx="109">
                  <c:v>Czechia</c:v>
                </c:pt>
                <c:pt idx="110">
                  <c:v>Slovenia</c:v>
                </c:pt>
                <c:pt idx="111">
                  <c:v>Japan</c:v>
                </c:pt>
                <c:pt idx="112">
                  <c:v>Cyprus</c:v>
                </c:pt>
                <c:pt idx="113">
                  <c:v>Italy</c:v>
                </c:pt>
                <c:pt idx="114">
                  <c:v>Norway</c:v>
                </c:pt>
                <c:pt idx="115">
                  <c:v>New Zealand</c:v>
                </c:pt>
                <c:pt idx="116">
                  <c:v>South Korea</c:v>
                </c:pt>
                <c:pt idx="117">
                  <c:v>France</c:v>
                </c:pt>
                <c:pt idx="118">
                  <c:v>United Kingdom</c:v>
                </c:pt>
                <c:pt idx="119">
                  <c:v>Malta</c:v>
                </c:pt>
                <c:pt idx="120">
                  <c:v>Canada</c:v>
                </c:pt>
                <c:pt idx="121">
                  <c:v>Taiwan Province of China</c:v>
                </c:pt>
                <c:pt idx="122">
                  <c:v>Saudi Arabia</c:v>
                </c:pt>
                <c:pt idx="123">
                  <c:v>Finland</c:v>
                </c:pt>
                <c:pt idx="124">
                  <c:v>Kuwait</c:v>
                </c:pt>
                <c:pt idx="125">
                  <c:v>Australia</c:v>
                </c:pt>
                <c:pt idx="126">
                  <c:v>Belgium</c:v>
                </c:pt>
                <c:pt idx="127">
                  <c:v>Germany</c:v>
                </c:pt>
                <c:pt idx="128">
                  <c:v>Sweden</c:v>
                </c:pt>
                <c:pt idx="129">
                  <c:v>Iceland</c:v>
                </c:pt>
                <c:pt idx="130">
                  <c:v>Austria</c:v>
                </c:pt>
                <c:pt idx="131">
                  <c:v>Netherlands</c:v>
                </c:pt>
                <c:pt idx="132">
                  <c:v>Denmark</c:v>
                </c:pt>
                <c:pt idx="133">
                  <c:v>Hong Kong</c:v>
                </c:pt>
                <c:pt idx="134">
                  <c:v>United States</c:v>
                </c:pt>
                <c:pt idx="135">
                  <c:v>Norway</c:v>
                </c:pt>
                <c:pt idx="136">
                  <c:v>Switzerland</c:v>
                </c:pt>
                <c:pt idx="137">
                  <c:v>United Arab Emirates</c:v>
                </c:pt>
                <c:pt idx="138">
                  <c:v>Singapore</c:v>
                </c:pt>
                <c:pt idx="139">
                  <c:v>Ireland</c:v>
                </c:pt>
                <c:pt idx="140">
                  <c:v>Luxembourg</c:v>
                </c:pt>
                <c:pt idx="141">
                  <c:v>Bahrain</c:v>
                </c:pt>
                <c:pt idx="142">
                  <c:v>Tajikistan</c:v>
                </c:pt>
              </c:strCache>
            </c:strRef>
          </c:cat>
          <c:val>
            <c:numRef>
              <c:f>Charts!$S$2:$S$144</c:f>
              <c:numCache>
                <c:formatCode>General</c:formatCode>
                <c:ptCount val="143"/>
                <c:pt idx="0">
                  <c:v>0</c:v>
                </c:pt>
                <c:pt idx="1">
                  <c:v>0.53367000818252563</c:v>
                </c:pt>
                <c:pt idx="2">
                  <c:v>0.55976742506027222</c:v>
                </c:pt>
                <c:pt idx="3">
                  <c:v>0.57284975051879883</c:v>
                </c:pt>
                <c:pt idx="4">
                  <c:v>0.60330259799957275</c:v>
                </c:pt>
                <c:pt idx="5">
                  <c:v>0.61691111326217651</c:v>
                </c:pt>
                <c:pt idx="6">
                  <c:v>0.61877793073654175</c:v>
                </c:pt>
                <c:pt idx="7">
                  <c:v>0.6279069185256958</c:v>
                </c:pt>
                <c:pt idx="8">
                  <c:v>0.62813818454742432</c:v>
                </c:pt>
                <c:pt idx="9">
                  <c:v>0.65427839756011963</c:v>
                </c:pt>
                <c:pt idx="10">
                  <c:v>0.67127901315689087</c:v>
                </c:pt>
                <c:pt idx="11">
                  <c:v>0.7474067211151123</c:v>
                </c:pt>
                <c:pt idx="12">
                  <c:v>0.74833720922470093</c:v>
                </c:pt>
                <c:pt idx="13">
                  <c:v>0.75029802322387695</c:v>
                </c:pt>
                <c:pt idx="14">
                  <c:v>0.75584930181503296</c:v>
                </c:pt>
                <c:pt idx="15">
                  <c:v>0.75849395990371704</c:v>
                </c:pt>
                <c:pt idx="16">
                  <c:v>0.77080661058425903</c:v>
                </c:pt>
                <c:pt idx="17">
                  <c:v>0.77195256948471069</c:v>
                </c:pt>
                <c:pt idx="18">
                  <c:v>0.79156035184860229</c:v>
                </c:pt>
                <c:pt idx="19">
                  <c:v>0.82013702392578125</c:v>
                </c:pt>
                <c:pt idx="20">
                  <c:v>0.83056735992431641</c:v>
                </c:pt>
                <c:pt idx="21">
                  <c:v>0.8923410177230835</c:v>
                </c:pt>
                <c:pt idx="22">
                  <c:v>0.89553189277648926</c:v>
                </c:pt>
                <c:pt idx="23">
                  <c:v>0.89897161722183228</c:v>
                </c:pt>
                <c:pt idx="24">
                  <c:v>0.9135749340057373</c:v>
                </c:pt>
                <c:pt idx="25">
                  <c:v>0.92735916376113892</c:v>
                </c:pt>
                <c:pt idx="26">
                  <c:v>0.9432443380355835</c:v>
                </c:pt>
                <c:pt idx="27">
                  <c:v>0.96536391973495483</c:v>
                </c:pt>
                <c:pt idx="28">
                  <c:v>0.97761642932891846</c:v>
                </c:pt>
                <c:pt idx="29">
                  <c:v>1.0109834671020508</c:v>
                </c:pt>
                <c:pt idx="30">
                  <c:v>1.036737322807312</c:v>
                </c:pt>
                <c:pt idx="31">
                  <c:v>1.0417711734771729</c:v>
                </c:pt>
                <c:pt idx="32">
                  <c:v>1.0542736053466797</c:v>
                </c:pt>
                <c:pt idx="33">
                  <c:v>1.0685423612594604</c:v>
                </c:pt>
                <c:pt idx="34">
                  <c:v>1.0765100717544556</c:v>
                </c:pt>
                <c:pt idx="35">
                  <c:v>1.077660083770752</c:v>
                </c:pt>
                <c:pt idx="36">
                  <c:v>1.0801311731338501</c:v>
                </c:pt>
                <c:pt idx="37">
                  <c:v>1.0906941890716553</c:v>
                </c:pt>
                <c:pt idx="38">
                  <c:v>1.0972721576690674</c:v>
                </c:pt>
                <c:pt idx="39">
                  <c:v>1.1216069459915161</c:v>
                </c:pt>
                <c:pt idx="40">
                  <c:v>1.1661732196807861</c:v>
                </c:pt>
                <c:pt idx="41">
                  <c:v>1.2084683179855347</c:v>
                </c:pt>
                <c:pt idx="42">
                  <c:v>1.2116951942443848</c:v>
                </c:pt>
                <c:pt idx="43">
                  <c:v>1.2130000000000001</c:v>
                </c:pt>
                <c:pt idx="44">
                  <c:v>1.2134435176849365</c:v>
                </c:pt>
                <c:pt idx="45">
                  <c:v>1.2170525789260864</c:v>
                </c:pt>
                <c:pt idx="46">
                  <c:v>1.2319400310516357</c:v>
                </c:pt>
                <c:pt idx="47">
                  <c:v>1.2487026453018188</c:v>
                </c:pt>
                <c:pt idx="48">
                  <c:v>1.2553025484085083</c:v>
                </c:pt>
                <c:pt idx="49">
                  <c:v>1.2595252990722656</c:v>
                </c:pt>
                <c:pt idx="50">
                  <c:v>1.2622883319854736</c:v>
                </c:pt>
                <c:pt idx="51">
                  <c:v>1.2650809288024902</c:v>
                </c:pt>
                <c:pt idx="52">
                  <c:v>1.2663460969924927</c:v>
                </c:pt>
                <c:pt idx="53">
                  <c:v>1.2801949977874756</c:v>
                </c:pt>
                <c:pt idx="54">
                  <c:v>1.3064451217651367</c:v>
                </c:pt>
                <c:pt idx="55">
                  <c:v>1.3154677152633667</c:v>
                </c:pt>
                <c:pt idx="56">
                  <c:v>1.3235404491424561</c:v>
                </c:pt>
                <c:pt idx="57">
                  <c:v>1.330500602722168</c:v>
                </c:pt>
                <c:pt idx="58">
                  <c:v>1.3498984575271606</c:v>
                </c:pt>
                <c:pt idx="59">
                  <c:v>1.3527040481567383</c:v>
                </c:pt>
                <c:pt idx="60">
                  <c:v>1.3609724044799805</c:v>
                </c:pt>
                <c:pt idx="61">
                  <c:v>1.3614945411682129</c:v>
                </c:pt>
                <c:pt idx="62">
                  <c:v>1.3642358779907227</c:v>
                </c:pt>
                <c:pt idx="63">
                  <c:v>1.3699750900268555</c:v>
                </c:pt>
                <c:pt idx="64">
                  <c:v>1.3706018924713135</c:v>
                </c:pt>
                <c:pt idx="65">
                  <c:v>1.3767255544662476</c:v>
                </c:pt>
                <c:pt idx="66">
                  <c:v>1.3853644132614136</c:v>
                </c:pt>
                <c:pt idx="67">
                  <c:v>1.3891060352325439</c:v>
                </c:pt>
                <c:pt idx="68">
                  <c:v>1.3981411457061768</c:v>
                </c:pt>
                <c:pt idx="69">
                  <c:v>1.4034374952316284</c:v>
                </c:pt>
                <c:pt idx="70">
                  <c:v>1.4295258522033691</c:v>
                </c:pt>
                <c:pt idx="71">
                  <c:v>1.4329136610031128</c:v>
                </c:pt>
                <c:pt idx="72">
                  <c:v>1.4351887702941895</c:v>
                </c:pt>
                <c:pt idx="73">
                  <c:v>1.4369055032730103</c:v>
                </c:pt>
                <c:pt idx="74">
                  <c:v>1.4378888607025146</c:v>
                </c:pt>
                <c:pt idx="75">
                  <c:v>1.4435883760452271</c:v>
                </c:pt>
                <c:pt idx="76">
                  <c:v>1.4446913003921509</c:v>
                </c:pt>
                <c:pt idx="77">
                  <c:v>1.4647413492202759</c:v>
                </c:pt>
                <c:pt idx="78">
                  <c:v>1.4669232368469238</c:v>
                </c:pt>
                <c:pt idx="79">
                  <c:v>1.4753087759017944</c:v>
                </c:pt>
                <c:pt idx="80">
                  <c:v>1.4842075109481812</c:v>
                </c:pt>
                <c:pt idx="81">
                  <c:v>1.4968482255935669</c:v>
                </c:pt>
                <c:pt idx="82">
                  <c:v>1.5166972875595093</c:v>
                </c:pt>
                <c:pt idx="83">
                  <c:v>1.5207414627075195</c:v>
                </c:pt>
                <c:pt idx="84">
                  <c:v>1.5256569385528564</c:v>
                </c:pt>
                <c:pt idx="85">
                  <c:v>1.5378245115280151</c:v>
                </c:pt>
                <c:pt idx="86">
                  <c:v>1.5606451034545898</c:v>
                </c:pt>
                <c:pt idx="87">
                  <c:v>1.5617474317550659</c:v>
                </c:pt>
                <c:pt idx="88">
                  <c:v>1.5704201459884644</c:v>
                </c:pt>
                <c:pt idx="89">
                  <c:v>1.5705214738845825</c:v>
                </c:pt>
                <c:pt idx="90">
                  <c:v>1.5955692529678345</c:v>
                </c:pt>
                <c:pt idx="91">
                  <c:v>1.6164460182189941</c:v>
                </c:pt>
                <c:pt idx="92">
                  <c:v>1.6224950551986694</c:v>
                </c:pt>
                <c:pt idx="93">
                  <c:v>1.6293822526931763</c:v>
                </c:pt>
                <c:pt idx="94">
                  <c:v>1.6421922445297241</c:v>
                </c:pt>
                <c:pt idx="95">
                  <c:v>1.6458711624145508</c:v>
                </c:pt>
                <c:pt idx="96">
                  <c:v>1.6839154958724976</c:v>
                </c:pt>
                <c:pt idx="97">
                  <c:v>1.6990300416946411</c:v>
                </c:pt>
                <c:pt idx="98">
                  <c:v>1.7002942562103271</c:v>
                </c:pt>
                <c:pt idx="99">
                  <c:v>1.7015780210494995</c:v>
                </c:pt>
                <c:pt idx="100">
                  <c:v>1.7017160654067993</c:v>
                </c:pt>
                <c:pt idx="101">
                  <c:v>1.7055419683456421</c:v>
                </c:pt>
                <c:pt idx="102">
                  <c:v>1.7100956439971924</c:v>
                </c:pt>
                <c:pt idx="103">
                  <c:v>1.7220711708068848</c:v>
                </c:pt>
                <c:pt idx="104">
                  <c:v>1.7275601625442505</c:v>
                </c:pt>
                <c:pt idx="105">
                  <c:v>1.737703800201416</c:v>
                </c:pt>
                <c:pt idx="106">
                  <c:v>1.7518472671508789</c:v>
                </c:pt>
                <c:pt idx="107">
                  <c:v>1.7656822204589844</c:v>
                </c:pt>
                <c:pt idx="108">
                  <c:v>1.7661887407302856</c:v>
                </c:pt>
                <c:pt idx="109">
                  <c:v>1.783191442489624</c:v>
                </c:pt>
                <c:pt idx="110">
                  <c:v>1.785599946975708</c:v>
                </c:pt>
                <c:pt idx="111">
                  <c:v>1.7857211828231812</c:v>
                </c:pt>
                <c:pt idx="112">
                  <c:v>1.7937989234924316</c:v>
                </c:pt>
                <c:pt idx="113">
                  <c:v>1.8001515865325928</c:v>
                </c:pt>
                <c:pt idx="114">
                  <c:v>1.8029335737228394</c:v>
                </c:pt>
                <c:pt idx="115">
                  <c:v>1.8103488683700562</c:v>
                </c:pt>
                <c:pt idx="116">
                  <c:v>1.8149861097335815</c:v>
                </c:pt>
                <c:pt idx="117">
                  <c:v>1.818342924118042</c:v>
                </c:pt>
                <c:pt idx="118">
                  <c:v>1.8222154378890991</c:v>
                </c:pt>
                <c:pt idx="119">
                  <c:v>1.8269320726394653</c:v>
                </c:pt>
                <c:pt idx="120">
                  <c:v>1.8397207260131836</c:v>
                </c:pt>
                <c:pt idx="121">
                  <c:v>1.8415800333023071</c:v>
                </c:pt>
                <c:pt idx="122">
                  <c:v>1.8423970937728882</c:v>
                </c:pt>
                <c:pt idx="123">
                  <c:v>1.8440535068511963</c:v>
                </c:pt>
                <c:pt idx="124">
                  <c:v>1.8450720310211182</c:v>
                </c:pt>
                <c:pt idx="125">
                  <c:v>1.8542584180831909</c:v>
                </c:pt>
                <c:pt idx="126">
                  <c:v>1.8680410385131836</c:v>
                </c:pt>
                <c:pt idx="127">
                  <c:v>1.8713324069976807</c:v>
                </c:pt>
                <c:pt idx="128">
                  <c:v>1.8781455755233765</c:v>
                </c:pt>
                <c:pt idx="129">
                  <c:v>1.8807179927825928</c:v>
                </c:pt>
                <c:pt idx="130">
                  <c:v>1.8852653503417969</c:v>
                </c:pt>
                <c:pt idx="131">
                  <c:v>1.9006567001342773</c:v>
                </c:pt>
                <c:pt idx="132">
                  <c:v>1.9077976942062378</c:v>
                </c:pt>
                <c:pt idx="133">
                  <c:v>1.9087110757827759</c:v>
                </c:pt>
                <c:pt idx="134">
                  <c:v>1.9388630390167236</c:v>
                </c:pt>
                <c:pt idx="135">
                  <c:v>1.9519555568695068</c:v>
                </c:pt>
                <c:pt idx="136">
                  <c:v>1.9702684879302979</c:v>
                </c:pt>
                <c:pt idx="137">
                  <c:v>1.9831197261810303</c:v>
                </c:pt>
                <c:pt idx="138">
                  <c:v>2.1180984973907471</c:v>
                </c:pt>
                <c:pt idx="139">
                  <c:v>2.1288285255432129</c:v>
                </c:pt>
                <c:pt idx="140">
                  <c:v>2.1405189037322998</c:v>
                </c:pt>
                <c:pt idx="141">
                  <c:v>0</c:v>
                </c:pt>
                <c:pt idx="142">
                  <c:v>0</c:v>
                </c:pt>
              </c:numCache>
            </c:numRef>
          </c:val>
          <c:smooth val="0"/>
          <c:extLst>
            <c:ext xmlns:c16="http://schemas.microsoft.com/office/drawing/2014/chart" uri="{C3380CC4-5D6E-409C-BE32-E72D297353CC}">
              <c16:uniqueId val="{00000000-274D-4301-AFD0-551725251F87}"/>
            </c:ext>
          </c:extLst>
        </c:ser>
        <c:ser>
          <c:idx val="1"/>
          <c:order val="1"/>
          <c:tx>
            <c:strRef>
              <c:f>Charts!$T$1</c:f>
              <c:strCache>
                <c:ptCount val="1"/>
                <c:pt idx="0">
                  <c:v>Happiness Score</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Charts!$R$2:$R$144</c:f>
              <c:strCache>
                <c:ptCount val="143"/>
                <c:pt idx="0">
                  <c:v>Venezuela</c:v>
                </c:pt>
                <c:pt idx="1">
                  <c:v>Congo (Kinshasa)</c:v>
                </c:pt>
                <c:pt idx="2">
                  <c:v>Mozambique</c:v>
                </c:pt>
                <c:pt idx="3">
                  <c:v>Niger</c:v>
                </c:pt>
                <c:pt idx="4">
                  <c:v>Chad</c:v>
                </c:pt>
                <c:pt idx="5">
                  <c:v>Malawi</c:v>
                </c:pt>
                <c:pt idx="6">
                  <c:v>Liberia</c:v>
                </c:pt>
                <c:pt idx="7">
                  <c:v>Madagascar</c:v>
                </c:pt>
                <c:pt idx="8">
                  <c:v>Afghanistan</c:v>
                </c:pt>
                <c:pt idx="9">
                  <c:v>Sierra Leone</c:v>
                </c:pt>
                <c:pt idx="10">
                  <c:v>Yemen</c:v>
                </c:pt>
                <c:pt idx="11">
                  <c:v>Mali</c:v>
                </c:pt>
                <c:pt idx="12">
                  <c:v>Zimbabwe</c:v>
                </c:pt>
                <c:pt idx="13">
                  <c:v>Gambia</c:v>
                </c:pt>
                <c:pt idx="14">
                  <c:v>Burkina Faso</c:v>
                </c:pt>
                <c:pt idx="15">
                  <c:v>Togo</c:v>
                </c:pt>
                <c:pt idx="16">
                  <c:v>Lesotho</c:v>
                </c:pt>
                <c:pt idx="17">
                  <c:v>Uganda</c:v>
                </c:pt>
                <c:pt idx="18">
                  <c:v>Ethiopia</c:v>
                </c:pt>
                <c:pt idx="19">
                  <c:v>Tanzania</c:v>
                </c:pt>
                <c:pt idx="20">
                  <c:v>Guinea</c:v>
                </c:pt>
                <c:pt idx="21">
                  <c:v>Congo (Brazzaville)</c:v>
                </c:pt>
                <c:pt idx="22">
                  <c:v>Comoros</c:v>
                </c:pt>
                <c:pt idx="23">
                  <c:v>Zambia</c:v>
                </c:pt>
                <c:pt idx="24">
                  <c:v>Benin</c:v>
                </c:pt>
                <c:pt idx="25">
                  <c:v>Senegal</c:v>
                </c:pt>
                <c:pt idx="26">
                  <c:v>Cameroon</c:v>
                </c:pt>
                <c:pt idx="27">
                  <c:v>Nepal</c:v>
                </c:pt>
                <c:pt idx="28">
                  <c:v>Myanmar</c:v>
                </c:pt>
                <c:pt idx="29">
                  <c:v>Cambodia</c:v>
                </c:pt>
                <c:pt idx="30">
                  <c:v>Kenya</c:v>
                </c:pt>
                <c:pt idx="31">
                  <c:v>Nigeria</c:v>
                </c:pt>
                <c:pt idx="32">
                  <c:v>Kyrgyzstan</c:v>
                </c:pt>
                <c:pt idx="33">
                  <c:v>Pakistan</c:v>
                </c:pt>
                <c:pt idx="34">
                  <c:v>Ghana</c:v>
                </c:pt>
                <c:pt idx="35">
                  <c:v>Mauritania</c:v>
                </c:pt>
                <c:pt idx="36">
                  <c:v>Ivory Coast</c:v>
                </c:pt>
                <c:pt idx="37">
                  <c:v>Honduras</c:v>
                </c:pt>
                <c:pt idx="38">
                  <c:v>Nicaragua</c:v>
                </c:pt>
                <c:pt idx="39">
                  <c:v>Bangladesh</c:v>
                </c:pt>
                <c:pt idx="40">
                  <c:v>India</c:v>
                </c:pt>
                <c:pt idx="41">
                  <c:v>Laos</c:v>
                </c:pt>
                <c:pt idx="42">
                  <c:v>Uzbekistan</c:v>
                </c:pt>
                <c:pt idx="43">
                  <c:v>Palestine</c:v>
                </c:pt>
                <c:pt idx="44">
                  <c:v>Morocco</c:v>
                </c:pt>
                <c:pt idx="45">
                  <c:v>Bolivia</c:v>
                </c:pt>
                <c:pt idx="46">
                  <c:v>Philippines</c:v>
                </c:pt>
                <c:pt idx="47">
                  <c:v>Iraq</c:v>
                </c:pt>
                <c:pt idx="48">
                  <c:v>Eswatini</c:v>
                </c:pt>
                <c:pt idx="49">
                  <c:v>Guatemala</c:v>
                </c:pt>
                <c:pt idx="50">
                  <c:v>Jordan</c:v>
                </c:pt>
                <c:pt idx="51">
                  <c:v>El Salvador</c:v>
                </c:pt>
                <c:pt idx="52">
                  <c:v>Namibia</c:v>
                </c:pt>
                <c:pt idx="53">
                  <c:v>Jamaica</c:v>
                </c:pt>
                <c:pt idx="54">
                  <c:v>Tunisia</c:v>
                </c:pt>
                <c:pt idx="55">
                  <c:v>Ecuador</c:v>
                </c:pt>
                <c:pt idx="56">
                  <c:v>Algeria</c:v>
                </c:pt>
                <c:pt idx="57">
                  <c:v>Vietnam</c:v>
                </c:pt>
                <c:pt idx="58">
                  <c:v>Ukraine</c:v>
                </c:pt>
                <c:pt idx="59">
                  <c:v>Mongolia</c:v>
                </c:pt>
                <c:pt idx="60">
                  <c:v>Sri Lanka</c:v>
                </c:pt>
                <c:pt idx="61">
                  <c:v>Indonesia</c:v>
                </c:pt>
                <c:pt idx="62">
                  <c:v>Kosovo</c:v>
                </c:pt>
                <c:pt idx="63">
                  <c:v>Egypt</c:v>
                </c:pt>
                <c:pt idx="64">
                  <c:v>Peru</c:v>
                </c:pt>
                <c:pt idx="65">
                  <c:v>Lebanon</c:v>
                </c:pt>
                <c:pt idx="66">
                  <c:v>Moldova</c:v>
                </c:pt>
                <c:pt idx="67">
                  <c:v>South Africa</c:v>
                </c:pt>
                <c:pt idx="68">
                  <c:v>Paraguay</c:v>
                </c:pt>
                <c:pt idx="69">
                  <c:v>Gabon</c:v>
                </c:pt>
                <c:pt idx="70">
                  <c:v>Brazil</c:v>
                </c:pt>
                <c:pt idx="71">
                  <c:v>Azerbaijan</c:v>
                </c:pt>
                <c:pt idx="72">
                  <c:v>Iran</c:v>
                </c:pt>
                <c:pt idx="73">
                  <c:v>Colombia</c:v>
                </c:pt>
                <c:pt idx="74">
                  <c:v>Albania</c:v>
                </c:pt>
                <c:pt idx="75">
                  <c:v>Armenia</c:v>
                </c:pt>
                <c:pt idx="76">
                  <c:v>Botswana</c:v>
                </c:pt>
                <c:pt idx="77">
                  <c:v>Bosnia and Herzegovina</c:v>
                </c:pt>
                <c:pt idx="78">
                  <c:v>Georgia</c:v>
                </c:pt>
                <c:pt idx="79">
                  <c:v>North Macedonia</c:v>
                </c:pt>
                <c:pt idx="80">
                  <c:v>Thailand</c:v>
                </c:pt>
                <c:pt idx="81">
                  <c:v>China</c:v>
                </c:pt>
                <c:pt idx="82">
                  <c:v>Dominican Republic</c:v>
                </c:pt>
                <c:pt idx="83">
                  <c:v>Mexico</c:v>
                </c:pt>
                <c:pt idx="84">
                  <c:v>Libya</c:v>
                </c:pt>
                <c:pt idx="85">
                  <c:v>Serbia</c:v>
                </c:pt>
                <c:pt idx="86">
                  <c:v>Costa Rica</c:v>
                </c:pt>
                <c:pt idx="87">
                  <c:v>Argentina</c:v>
                </c:pt>
                <c:pt idx="88">
                  <c:v>Mauritius</c:v>
                </c:pt>
                <c:pt idx="89">
                  <c:v>Montenegro</c:v>
                </c:pt>
                <c:pt idx="90">
                  <c:v>Uruguay</c:v>
                </c:pt>
                <c:pt idx="91">
                  <c:v>Chile</c:v>
                </c:pt>
                <c:pt idx="92">
                  <c:v>Kazakhstan</c:v>
                </c:pt>
                <c:pt idx="93">
                  <c:v>Bulgaria</c:v>
                </c:pt>
                <c:pt idx="94">
                  <c:v>Russia</c:v>
                </c:pt>
                <c:pt idx="95">
                  <c:v>Malaysia</c:v>
                </c:pt>
                <c:pt idx="96">
                  <c:v>Greece</c:v>
                </c:pt>
                <c:pt idx="97">
                  <c:v>Romania</c:v>
                </c:pt>
                <c:pt idx="98">
                  <c:v>Latvia</c:v>
                </c:pt>
                <c:pt idx="99">
                  <c:v>Turkiye</c:v>
                </c:pt>
                <c:pt idx="100">
                  <c:v>Panama</c:v>
                </c:pt>
                <c:pt idx="101">
                  <c:v>Slovakia</c:v>
                </c:pt>
                <c:pt idx="102">
                  <c:v>Croatia</c:v>
                </c:pt>
                <c:pt idx="103">
                  <c:v>Hungary</c:v>
                </c:pt>
                <c:pt idx="104">
                  <c:v>Portugal</c:v>
                </c:pt>
                <c:pt idx="105">
                  <c:v>Poland</c:v>
                </c:pt>
                <c:pt idx="106">
                  <c:v>Estonia</c:v>
                </c:pt>
                <c:pt idx="107">
                  <c:v>Lithuania</c:v>
                </c:pt>
                <c:pt idx="108">
                  <c:v>Spain</c:v>
                </c:pt>
                <c:pt idx="109">
                  <c:v>Czechia</c:v>
                </c:pt>
                <c:pt idx="110">
                  <c:v>Slovenia</c:v>
                </c:pt>
                <c:pt idx="111">
                  <c:v>Japan</c:v>
                </c:pt>
                <c:pt idx="112">
                  <c:v>Cyprus</c:v>
                </c:pt>
                <c:pt idx="113">
                  <c:v>Italy</c:v>
                </c:pt>
                <c:pt idx="114">
                  <c:v>Norway</c:v>
                </c:pt>
                <c:pt idx="115">
                  <c:v>New Zealand</c:v>
                </c:pt>
                <c:pt idx="116">
                  <c:v>South Korea</c:v>
                </c:pt>
                <c:pt idx="117">
                  <c:v>France</c:v>
                </c:pt>
                <c:pt idx="118">
                  <c:v>United Kingdom</c:v>
                </c:pt>
                <c:pt idx="119">
                  <c:v>Malta</c:v>
                </c:pt>
                <c:pt idx="120">
                  <c:v>Canada</c:v>
                </c:pt>
                <c:pt idx="121">
                  <c:v>Taiwan Province of China</c:v>
                </c:pt>
                <c:pt idx="122">
                  <c:v>Saudi Arabia</c:v>
                </c:pt>
                <c:pt idx="123">
                  <c:v>Finland</c:v>
                </c:pt>
                <c:pt idx="124">
                  <c:v>Kuwait</c:v>
                </c:pt>
                <c:pt idx="125">
                  <c:v>Australia</c:v>
                </c:pt>
                <c:pt idx="126">
                  <c:v>Belgium</c:v>
                </c:pt>
                <c:pt idx="127">
                  <c:v>Germany</c:v>
                </c:pt>
                <c:pt idx="128">
                  <c:v>Sweden</c:v>
                </c:pt>
                <c:pt idx="129">
                  <c:v>Iceland</c:v>
                </c:pt>
                <c:pt idx="130">
                  <c:v>Austria</c:v>
                </c:pt>
                <c:pt idx="131">
                  <c:v>Netherlands</c:v>
                </c:pt>
                <c:pt idx="132">
                  <c:v>Denmark</c:v>
                </c:pt>
                <c:pt idx="133">
                  <c:v>Hong Kong</c:v>
                </c:pt>
                <c:pt idx="134">
                  <c:v>United States</c:v>
                </c:pt>
                <c:pt idx="135">
                  <c:v>Norway</c:v>
                </c:pt>
                <c:pt idx="136">
                  <c:v>Switzerland</c:v>
                </c:pt>
                <c:pt idx="137">
                  <c:v>United Arab Emirates</c:v>
                </c:pt>
                <c:pt idx="138">
                  <c:v>Singapore</c:v>
                </c:pt>
                <c:pt idx="139">
                  <c:v>Ireland</c:v>
                </c:pt>
                <c:pt idx="140">
                  <c:v>Luxembourg</c:v>
                </c:pt>
                <c:pt idx="141">
                  <c:v>Bahrain</c:v>
                </c:pt>
                <c:pt idx="142">
                  <c:v>Tajikistan</c:v>
                </c:pt>
              </c:strCache>
            </c:strRef>
          </c:cat>
          <c:val>
            <c:numRef>
              <c:f>Charts!$T$2:$T$144</c:f>
              <c:numCache>
                <c:formatCode>General</c:formatCode>
                <c:ptCount val="143"/>
                <c:pt idx="0">
                  <c:v>5.6066999435424805</c:v>
                </c:pt>
                <c:pt idx="1">
                  <c:v>3.2953999042510986</c:v>
                </c:pt>
                <c:pt idx="2">
                  <c:v>5.216400146484375</c:v>
                </c:pt>
                <c:pt idx="3">
                  <c:v>4.556300163269043</c:v>
                </c:pt>
                <c:pt idx="4">
                  <c:v>4.4713001251220703</c:v>
                </c:pt>
                <c:pt idx="5">
                  <c:v>3.4210000038146973</c:v>
                </c:pt>
                <c:pt idx="6">
                  <c:v>4.2685999870300293</c:v>
                </c:pt>
                <c:pt idx="7">
                  <c:v>4.2279000282287598</c:v>
                </c:pt>
                <c:pt idx="8">
                  <c:v>1.7209999561309814</c:v>
                </c:pt>
                <c:pt idx="9">
                  <c:v>3.2451999187469482</c:v>
                </c:pt>
                <c:pt idx="10">
                  <c:v>3.5610001087188721</c:v>
                </c:pt>
                <c:pt idx="11">
                  <c:v>4.2319998741149902</c:v>
                </c:pt>
                <c:pt idx="12">
                  <c:v>3.3410999774932861</c:v>
                </c:pt>
                <c:pt idx="13">
                  <c:v>4.4848999977111816</c:v>
                </c:pt>
                <c:pt idx="14">
                  <c:v>4.5479998588562012</c:v>
                </c:pt>
                <c:pt idx="15">
                  <c:v>4.2140998840332031</c:v>
                </c:pt>
                <c:pt idx="16">
                  <c:v>3.1861999034881592</c:v>
                </c:pt>
                <c:pt idx="17">
                  <c:v>4.3716998100280762</c:v>
                </c:pt>
                <c:pt idx="18">
                  <c:v>3.8608999252319336</c:v>
                </c:pt>
                <c:pt idx="19">
                  <c:v>3.7806000709533691</c:v>
                </c:pt>
                <c:pt idx="20">
                  <c:v>5.0233001708984375</c:v>
                </c:pt>
                <c:pt idx="21">
                  <c:v>5.2214999198913574</c:v>
                </c:pt>
                <c:pt idx="22">
                  <c:v>3.5662999153137207</c:v>
                </c:pt>
                <c:pt idx="23">
                  <c:v>3.5023999214172363</c:v>
                </c:pt>
                <c:pt idx="24">
                  <c:v>4.3773999214172363</c:v>
                </c:pt>
                <c:pt idx="25">
                  <c:v>4.968599796295166</c:v>
                </c:pt>
                <c:pt idx="26">
                  <c:v>4.8744001388549805</c:v>
                </c:pt>
                <c:pt idx="27">
                  <c:v>5.1584000587463379</c:v>
                </c:pt>
                <c:pt idx="28">
                  <c:v>4.3544998168945313</c:v>
                </c:pt>
                <c:pt idx="29">
                  <c:v>4.3407001495361328</c:v>
                </c:pt>
                <c:pt idx="30">
                  <c:v>4.4696002006530762</c:v>
                </c:pt>
                <c:pt idx="31">
                  <c:v>4.8807997703552246</c:v>
                </c:pt>
                <c:pt idx="32">
                  <c:v>5.7135000228881836</c:v>
                </c:pt>
                <c:pt idx="33">
                  <c:v>4.6567001342773438</c:v>
                </c:pt>
                <c:pt idx="34">
                  <c:v>4.2894001007080078</c:v>
                </c:pt>
                <c:pt idx="35">
                  <c:v>4.5050997734069824</c:v>
                </c:pt>
                <c:pt idx="36">
                  <c:v>5.0801000595092773</c:v>
                </c:pt>
                <c:pt idx="37">
                  <c:v>5.9684000015258789</c:v>
                </c:pt>
                <c:pt idx="38">
                  <c:v>6.2838997840881348</c:v>
                </c:pt>
                <c:pt idx="39">
                  <c:v>3.8859000205993652</c:v>
                </c:pt>
                <c:pt idx="40">
                  <c:v>4.0541000366210938</c:v>
                </c:pt>
                <c:pt idx="41">
                  <c:v>5.1388998031616211</c:v>
                </c:pt>
                <c:pt idx="42">
                  <c:v>6.195000171661377</c:v>
                </c:pt>
                <c:pt idx="43">
                  <c:v>4.8794999122619629</c:v>
                </c:pt>
                <c:pt idx="44">
                  <c:v>4.7947001457214355</c:v>
                </c:pt>
                <c:pt idx="45">
                  <c:v>5.7842998504638672</c:v>
                </c:pt>
                <c:pt idx="46">
                  <c:v>6.0475997924804688</c:v>
                </c:pt>
                <c:pt idx="47">
                  <c:v>5.1659998893737793</c:v>
                </c:pt>
                <c:pt idx="48">
                  <c:v>3.502000093460083</c:v>
                </c:pt>
                <c:pt idx="49">
                  <c:v>6.2870001792907715</c:v>
                </c:pt>
                <c:pt idx="50">
                  <c:v>4.1858000755310059</c:v>
                </c:pt>
                <c:pt idx="51">
                  <c:v>6.4686999320983887</c:v>
                </c:pt>
                <c:pt idx="52">
                  <c:v>4.8316998481750488</c:v>
                </c:pt>
                <c:pt idx="53">
                  <c:v>5.8417000770568848</c:v>
                </c:pt>
                <c:pt idx="54">
                  <c:v>4.4218001365661621</c:v>
                </c:pt>
                <c:pt idx="55">
                  <c:v>5.7245001792907715</c:v>
                </c:pt>
                <c:pt idx="56">
                  <c:v>5.3635001182556152</c:v>
                </c:pt>
                <c:pt idx="57">
                  <c:v>6.0430002212524414</c:v>
                </c:pt>
                <c:pt idx="58">
                  <c:v>4.8730001449584961</c:v>
                </c:pt>
                <c:pt idx="59">
                  <c:v>5.696199893951416</c:v>
                </c:pt>
                <c:pt idx="60">
                  <c:v>3.8980998992919922</c:v>
                </c:pt>
                <c:pt idx="61">
                  <c:v>5.5682997703552246</c:v>
                </c:pt>
                <c:pt idx="62">
                  <c:v>6.560999870300293</c:v>
                </c:pt>
                <c:pt idx="63">
                  <c:v>3.9765999317169189</c:v>
                </c:pt>
                <c:pt idx="64">
                  <c:v>5.8408999443054199</c:v>
                </c:pt>
                <c:pt idx="65">
                  <c:v>2.7065000534057617</c:v>
                </c:pt>
                <c:pt idx="66">
                  <c:v>5.8158998489379883</c:v>
                </c:pt>
                <c:pt idx="67">
                  <c:v>5.4219999313354492</c:v>
                </c:pt>
                <c:pt idx="68">
                  <c:v>5.9765000343322754</c:v>
                </c:pt>
                <c:pt idx="69">
                  <c:v>5.106299877166748</c:v>
                </c:pt>
                <c:pt idx="70">
                  <c:v>6.2719998359680176</c:v>
                </c:pt>
                <c:pt idx="71">
                  <c:v>4.8934001922607422</c:v>
                </c:pt>
                <c:pt idx="72">
                  <c:v>4.9228000640869141</c:v>
                </c:pt>
                <c:pt idx="73">
                  <c:v>5.6950998306274414</c:v>
                </c:pt>
                <c:pt idx="74">
                  <c:v>5.3042001724243164</c:v>
                </c:pt>
                <c:pt idx="75">
                  <c:v>5.454899787902832</c:v>
                </c:pt>
                <c:pt idx="76">
                  <c:v>3.3833999633789063</c:v>
                </c:pt>
                <c:pt idx="77">
                  <c:v>5.8769998550415039</c:v>
                </c:pt>
                <c:pt idx="78">
                  <c:v>5.1847000122070313</c:v>
                </c:pt>
                <c:pt idx="79">
                  <c:v>5.3691000938415527</c:v>
                </c:pt>
                <c:pt idx="80">
                  <c:v>5.976099967956543</c:v>
                </c:pt>
                <c:pt idx="81">
                  <c:v>5.9727001190185547</c:v>
                </c:pt>
                <c:pt idx="82">
                  <c:v>5.8228001594543457</c:v>
                </c:pt>
                <c:pt idx="83">
                  <c:v>6.6779999732971191</c:v>
                </c:pt>
                <c:pt idx="84">
                  <c:v>5.866300106048584</c:v>
                </c:pt>
                <c:pt idx="85">
                  <c:v>6.4107999801635742</c:v>
                </c:pt>
                <c:pt idx="86">
                  <c:v>6.9553999900817871</c:v>
                </c:pt>
                <c:pt idx="87">
                  <c:v>6.1880998611450195</c:v>
                </c:pt>
                <c:pt idx="88">
                  <c:v>5.8164000511169434</c:v>
                </c:pt>
                <c:pt idx="89">
                  <c:v>5.7069997787475586</c:v>
                </c:pt>
                <c:pt idx="90">
                  <c:v>6.6114997863769531</c:v>
                </c:pt>
                <c:pt idx="91">
                  <c:v>6.3603000640869141</c:v>
                </c:pt>
                <c:pt idx="92">
                  <c:v>6.1875</c:v>
                </c:pt>
                <c:pt idx="93">
                  <c:v>5.4626998901367188</c:v>
                </c:pt>
                <c:pt idx="94">
                  <c:v>5.7852997779846191</c:v>
                </c:pt>
                <c:pt idx="95">
                  <c:v>5.9752001762390137</c:v>
                </c:pt>
                <c:pt idx="96">
                  <c:v>5.9335999488830566</c:v>
                </c:pt>
                <c:pt idx="97">
                  <c:v>6.4911999702453613</c:v>
                </c:pt>
                <c:pt idx="98">
                  <c:v>6.2344999313354492</c:v>
                </c:pt>
                <c:pt idx="99">
                  <c:v>4.9752998352050781</c:v>
                </c:pt>
                <c:pt idx="100">
                  <c:v>6.3582000732421875</c:v>
                </c:pt>
                <c:pt idx="101">
                  <c:v>6.2571001052856445</c:v>
                </c:pt>
                <c:pt idx="102">
                  <c:v>5.9422998428344727</c:v>
                </c:pt>
                <c:pt idx="103">
                  <c:v>6.0169000625610352</c:v>
                </c:pt>
                <c:pt idx="104">
                  <c:v>6.0296001434326172</c:v>
                </c:pt>
                <c:pt idx="105">
                  <c:v>6.441500186920166</c:v>
                </c:pt>
                <c:pt idx="106">
                  <c:v>6.447700023651123</c:v>
                </c:pt>
                <c:pt idx="107">
                  <c:v>6.817500114440918</c:v>
                </c:pt>
                <c:pt idx="108">
                  <c:v>6.4208998680114746</c:v>
                </c:pt>
                <c:pt idx="109">
                  <c:v>6.8218002319335938</c:v>
                </c:pt>
                <c:pt idx="110">
                  <c:v>6.7432999610900879</c:v>
                </c:pt>
                <c:pt idx="111">
                  <c:v>6.0598001480102539</c:v>
                </c:pt>
                <c:pt idx="112">
                  <c:v>6.0680999755859375</c:v>
                </c:pt>
                <c:pt idx="113">
                  <c:v>6.3235001564025879</c:v>
                </c:pt>
                <c:pt idx="114">
                  <c:v>7.3411002159118652</c:v>
                </c:pt>
                <c:pt idx="115">
                  <c:v>7.0292000770568848</c:v>
                </c:pt>
                <c:pt idx="116">
                  <c:v>6.0578999519348145</c:v>
                </c:pt>
                <c:pt idx="117">
                  <c:v>6.6090002059936523</c:v>
                </c:pt>
                <c:pt idx="118">
                  <c:v>6.749000072479248</c:v>
                </c:pt>
                <c:pt idx="119">
                  <c:v>6.3457999229431152</c:v>
                </c:pt>
                <c:pt idx="120">
                  <c:v>6.8996000289916992</c:v>
                </c:pt>
                <c:pt idx="121">
                  <c:v>6.5034999847412109</c:v>
                </c:pt>
                <c:pt idx="122">
                  <c:v>6.5935001373291016</c:v>
                </c:pt>
                <c:pt idx="123">
                  <c:v>7.7406997680664063</c:v>
                </c:pt>
                <c:pt idx="124">
                  <c:v>6.9513998031616211</c:v>
                </c:pt>
                <c:pt idx="125">
                  <c:v>7.0569000244140625</c:v>
                </c:pt>
                <c:pt idx="126">
                  <c:v>6.8941998481750488</c:v>
                </c:pt>
                <c:pt idx="127">
                  <c:v>6.7185001373291016</c:v>
                </c:pt>
                <c:pt idx="128">
                  <c:v>7.3440999984741211</c:v>
                </c:pt>
                <c:pt idx="129">
                  <c:v>7.5251002311706543</c:v>
                </c:pt>
                <c:pt idx="130">
                  <c:v>6.9046998023986816</c:v>
                </c:pt>
                <c:pt idx="131">
                  <c:v>7.3193998336791992</c:v>
                </c:pt>
                <c:pt idx="132">
                  <c:v>7.5826997756958008</c:v>
                </c:pt>
                <c:pt idx="133">
                  <c:v>5.3164000511169434</c:v>
                </c:pt>
                <c:pt idx="134">
                  <c:v>6.7248001098632813</c:v>
                </c:pt>
                <c:pt idx="135">
                  <c:v>7.3017001152038574</c:v>
                </c:pt>
                <c:pt idx="136">
                  <c:v>7.0602002143859863</c:v>
                </c:pt>
                <c:pt idx="137">
                  <c:v>6.7330999374389648</c:v>
                </c:pt>
                <c:pt idx="138">
                  <c:v>6.5227999687194824</c:v>
                </c:pt>
                <c:pt idx="139">
                  <c:v>6.8379998207092285</c:v>
                </c:pt>
                <c:pt idx="140">
                  <c:v>7.1219000816345215</c:v>
                </c:pt>
                <c:pt idx="141">
                  <c:v>5.9590997695922852</c:v>
                </c:pt>
                <c:pt idx="142">
                  <c:v>5.2807002067565918</c:v>
                </c:pt>
              </c:numCache>
            </c:numRef>
          </c:val>
          <c:smooth val="0"/>
          <c:extLst>
            <c:ext xmlns:c16="http://schemas.microsoft.com/office/drawing/2014/chart" uri="{C3380CC4-5D6E-409C-BE32-E72D297353CC}">
              <c16:uniqueId val="{00000001-274D-4301-AFD0-551725251F87}"/>
            </c:ext>
          </c:extLst>
        </c:ser>
        <c:dLbls>
          <c:showLegendKey val="0"/>
          <c:showVal val="0"/>
          <c:showCatName val="0"/>
          <c:showSerName val="0"/>
          <c:showPercent val="0"/>
          <c:showBubbleSize val="0"/>
        </c:dLbls>
        <c:smooth val="0"/>
        <c:axId val="1897127888"/>
        <c:axId val="1897139888"/>
      </c:lineChart>
      <c:catAx>
        <c:axId val="189712788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7139888"/>
        <c:crosses val="autoZero"/>
        <c:auto val="1"/>
        <c:lblAlgn val="ctr"/>
        <c:lblOffset val="100"/>
        <c:noMultiLvlLbl val="0"/>
      </c:catAx>
      <c:valAx>
        <c:axId val="18971398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7127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0">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alpha val="54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tx1"/>
    </cs:fontRef>
    <cs:spPr>
      <a:ln w="9525" cap="rnd">
        <a:solidFill>
          <a:schemeClr val="phClr">
            <a:alpha val="50000"/>
          </a:scheme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15000"/>
            <a:lumOff val="8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alpha val="54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alpha val="54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absolute">
    <xdr:from>
      <xdr:col>8</xdr:col>
      <xdr:colOff>525780</xdr:colOff>
      <xdr:row>126</xdr:row>
      <xdr:rowOff>91440</xdr:rowOff>
    </xdr:from>
    <xdr:to>
      <xdr:col>14</xdr:col>
      <xdr:colOff>182880</xdr:colOff>
      <xdr:row>168</xdr:row>
      <xdr:rowOff>0</xdr:rowOff>
    </xdr:to>
    <mc:AlternateContent xmlns:mc="http://schemas.openxmlformats.org/markup-compatibility/2006" xmlns:sle15="http://schemas.microsoft.com/office/drawing/2012/slicer">
      <mc:Choice Requires="sle15">
        <xdr:graphicFrame macro="">
          <xdr:nvGraphicFramePr>
            <xdr:cNvPr id="2" name="Country">
              <a:extLst>
                <a:ext uri="{FF2B5EF4-FFF2-40B4-BE49-F238E27FC236}">
                  <a16:creationId xmlns:a16="http://schemas.microsoft.com/office/drawing/2014/main" id="{80CCC9F3-A022-08B4-07F2-0B034B5B5D9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347960" y="312420"/>
              <a:ext cx="3314700" cy="412242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116633</xdr:colOff>
      <xdr:row>2</xdr:row>
      <xdr:rowOff>10834</xdr:rowOff>
    </xdr:from>
    <xdr:to>
      <xdr:col>3</xdr:col>
      <xdr:colOff>497632</xdr:colOff>
      <xdr:row>23</xdr:row>
      <xdr:rowOff>23328</xdr:rowOff>
    </xdr:to>
    <xdr:graphicFrame macro="">
      <xdr:nvGraphicFramePr>
        <xdr:cNvPr id="8" name="Chart_Top10_Happiest">
          <a:extLst>
            <a:ext uri="{FF2B5EF4-FFF2-40B4-BE49-F238E27FC236}">
              <a16:creationId xmlns:a16="http://schemas.microsoft.com/office/drawing/2014/main" id="{E1813886-E4B3-275C-4D63-015B0055B7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69980</xdr:colOff>
      <xdr:row>1</xdr:row>
      <xdr:rowOff>139958</xdr:rowOff>
    </xdr:from>
    <xdr:to>
      <xdr:col>16</xdr:col>
      <xdr:colOff>121920</xdr:colOff>
      <xdr:row>22</xdr:row>
      <xdr:rowOff>163285</xdr:rowOff>
    </xdr:to>
    <xdr:graphicFrame macro="">
      <xdr:nvGraphicFramePr>
        <xdr:cNvPr id="9" name="Chart_Avg_Happiness_Region">
          <a:extLst>
            <a:ext uri="{FF2B5EF4-FFF2-40B4-BE49-F238E27FC236}">
              <a16:creationId xmlns:a16="http://schemas.microsoft.com/office/drawing/2014/main" id="{4427DAAC-9539-C02F-55D6-1434CC32D3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137160</xdr:colOff>
      <xdr:row>25</xdr:row>
      <xdr:rowOff>58420</xdr:rowOff>
    </xdr:from>
    <xdr:to>
      <xdr:col>3</xdr:col>
      <xdr:colOff>412102</xdr:colOff>
      <xdr:row>45</xdr:row>
      <xdr:rowOff>69980</xdr:rowOff>
    </xdr:to>
    <xdr:graphicFrame macro="">
      <xdr:nvGraphicFramePr>
        <xdr:cNvPr id="10" name="Chart_Country_Distribution">
          <a:extLst>
            <a:ext uri="{FF2B5EF4-FFF2-40B4-BE49-F238E27FC236}">
              <a16:creationId xmlns:a16="http://schemas.microsoft.com/office/drawing/2014/main" id="{D610C048-0D54-D7C2-62AB-9F54969CDF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171062</xdr:colOff>
      <xdr:row>46</xdr:row>
      <xdr:rowOff>130160</xdr:rowOff>
    </xdr:from>
    <xdr:to>
      <xdr:col>16</xdr:col>
      <xdr:colOff>295470</xdr:colOff>
      <xdr:row>69</xdr:row>
      <xdr:rowOff>116633</xdr:rowOff>
    </xdr:to>
    <xdr:graphicFrame macro="">
      <xdr:nvGraphicFramePr>
        <xdr:cNvPr id="11" name="Chart_GDP_vs_Happiness_Line">
          <a:extLst>
            <a:ext uri="{FF2B5EF4-FFF2-40B4-BE49-F238E27FC236}">
              <a16:creationId xmlns:a16="http://schemas.microsoft.com/office/drawing/2014/main" id="{853F36E1-648F-1641-E033-796A28C49F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58628</xdr:colOff>
      <xdr:row>25</xdr:row>
      <xdr:rowOff>7776</xdr:rowOff>
    </xdr:from>
    <xdr:to>
      <xdr:col>16</xdr:col>
      <xdr:colOff>233266</xdr:colOff>
      <xdr:row>45</xdr:row>
      <xdr:rowOff>77755</xdr:rowOff>
    </xdr:to>
    <xdr:graphicFrame macro="">
      <xdr:nvGraphicFramePr>
        <xdr:cNvPr id="12" name="Chart_Social_vs_Happiness_Scatter">
          <a:extLst>
            <a:ext uri="{FF2B5EF4-FFF2-40B4-BE49-F238E27FC236}">
              <a16:creationId xmlns:a16="http://schemas.microsoft.com/office/drawing/2014/main" id="{2FC3ACA6-4ABA-B962-1690-72751C08B0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167014</xdr:colOff>
      <xdr:row>18</xdr:row>
      <xdr:rowOff>73661</xdr:rowOff>
    </xdr:from>
    <xdr:to>
      <xdr:col>2</xdr:col>
      <xdr:colOff>323589</xdr:colOff>
      <xdr:row>40</xdr:row>
      <xdr:rowOff>0</xdr:rowOff>
    </xdr:to>
    <xdr:graphicFrame macro="">
      <xdr:nvGraphicFramePr>
        <xdr:cNvPr id="2" name="Dash_Top10_Happiest">
          <a:extLst>
            <a:ext uri="{FF2B5EF4-FFF2-40B4-BE49-F238E27FC236}">
              <a16:creationId xmlns:a16="http://schemas.microsoft.com/office/drawing/2014/main" id="{E52E4968-CEE3-1812-4A57-7B684C74EB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93945</xdr:colOff>
      <xdr:row>15</xdr:row>
      <xdr:rowOff>592</xdr:rowOff>
    </xdr:from>
    <xdr:to>
      <xdr:col>4</xdr:col>
      <xdr:colOff>5991616</xdr:colOff>
      <xdr:row>37</xdr:row>
      <xdr:rowOff>83507</xdr:rowOff>
    </xdr:to>
    <xdr:graphicFrame macro="">
      <xdr:nvGraphicFramePr>
        <xdr:cNvPr id="3" name="Dash_Avg_Happiness_Region">
          <a:extLst>
            <a:ext uri="{FF2B5EF4-FFF2-40B4-BE49-F238E27FC236}">
              <a16:creationId xmlns:a16="http://schemas.microsoft.com/office/drawing/2014/main" id="{429C6075-4F53-7A09-15E6-8FE2E13204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156574</xdr:colOff>
      <xdr:row>41</xdr:row>
      <xdr:rowOff>41754</xdr:rowOff>
    </xdr:from>
    <xdr:to>
      <xdr:col>1</xdr:col>
      <xdr:colOff>3006247</xdr:colOff>
      <xdr:row>65</xdr:row>
      <xdr:rowOff>114822</xdr:rowOff>
    </xdr:to>
    <xdr:graphicFrame macro="">
      <xdr:nvGraphicFramePr>
        <xdr:cNvPr id="4" name="Dash_Country_Distribution">
          <a:extLst>
            <a:ext uri="{FF2B5EF4-FFF2-40B4-BE49-F238E27FC236}">
              <a16:creationId xmlns:a16="http://schemas.microsoft.com/office/drawing/2014/main" id="{DBF6BFEC-1364-C0DC-BD42-6F9E430FC3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3487907</xdr:colOff>
      <xdr:row>42</xdr:row>
      <xdr:rowOff>20354</xdr:rowOff>
    </xdr:from>
    <xdr:to>
      <xdr:col>4</xdr:col>
      <xdr:colOff>5407068</xdr:colOff>
      <xdr:row>65</xdr:row>
      <xdr:rowOff>31315</xdr:rowOff>
    </xdr:to>
    <xdr:graphicFrame macro="">
      <xdr:nvGraphicFramePr>
        <xdr:cNvPr id="5" name="Dash_Social_vs_Happiness_Scatter">
          <a:extLst>
            <a:ext uri="{FF2B5EF4-FFF2-40B4-BE49-F238E27FC236}">
              <a16:creationId xmlns:a16="http://schemas.microsoft.com/office/drawing/2014/main" id="{56BCD153-BB63-C260-5678-640BC400F5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114822</xdr:colOff>
      <xdr:row>66</xdr:row>
      <xdr:rowOff>154941</xdr:rowOff>
    </xdr:from>
    <xdr:to>
      <xdr:col>5</xdr:col>
      <xdr:colOff>386219</xdr:colOff>
      <xdr:row>100</xdr:row>
      <xdr:rowOff>93946</xdr:rowOff>
    </xdr:to>
    <xdr:graphicFrame macro="">
      <xdr:nvGraphicFramePr>
        <xdr:cNvPr id="6" name="Dash_GDP_vs_Happiness_Line">
          <a:extLst>
            <a:ext uri="{FF2B5EF4-FFF2-40B4-BE49-F238E27FC236}">
              <a16:creationId xmlns:a16="http://schemas.microsoft.com/office/drawing/2014/main" id="{D557C870-F05E-240B-76F8-9643E4E6B1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xdr:col>
      <xdr:colOff>218928</xdr:colOff>
      <xdr:row>3</xdr:row>
      <xdr:rowOff>8245</xdr:rowOff>
    </xdr:from>
    <xdr:to>
      <xdr:col>1</xdr:col>
      <xdr:colOff>2631928</xdr:colOff>
      <xdr:row>17</xdr:row>
      <xdr:rowOff>41753</xdr:rowOff>
    </xdr:to>
    <mc:AlternateContent xmlns:mc="http://schemas.openxmlformats.org/markup-compatibility/2006" xmlns:sle15="http://schemas.microsoft.com/office/drawing/2012/slicer">
      <mc:Choice Requires="sle15">
        <xdr:graphicFrame macro="">
          <xdr:nvGraphicFramePr>
            <xdr:cNvPr id="7" name="Slicer_Region_WHR_Final">
              <a:extLst>
                <a:ext uri="{FF2B5EF4-FFF2-40B4-BE49-F238E27FC236}">
                  <a16:creationId xmlns:a16="http://schemas.microsoft.com/office/drawing/2014/main" id="{202C6B0A-BF73-7C88-310B-1E1331FEF8C8}"/>
                </a:ext>
              </a:extLst>
            </xdr:cNvPr>
            <xdr:cNvGraphicFramePr/>
          </xdr:nvGraphicFramePr>
          <xdr:xfrm>
            <a:off x="0" y="0"/>
            <a:ext cx="0" cy="0"/>
          </xdr:xfrm>
          <a:graphic>
            <a:graphicData uri="http://schemas.microsoft.com/office/drawing/2010/slicer">
              <sle:slicer xmlns:sle="http://schemas.microsoft.com/office/drawing/2010/slicer" name="Slicer_Region_WHR_Final"/>
            </a:graphicData>
          </a:graphic>
        </xdr:graphicFrame>
      </mc:Choice>
      <mc:Fallback xmlns="">
        <xdr:sp macro="" textlink="">
          <xdr:nvSpPr>
            <xdr:cNvPr id="0" name=""/>
            <xdr:cNvSpPr>
              <a:spLocks noTextEdit="1"/>
            </xdr:cNvSpPr>
          </xdr:nvSpPr>
          <xdr:spPr>
            <a:xfrm>
              <a:off x="5385914" y="770245"/>
              <a:ext cx="2413000" cy="2768357"/>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2845879</xdr:colOff>
      <xdr:row>2</xdr:row>
      <xdr:rowOff>140814</xdr:rowOff>
    </xdr:from>
    <xdr:to>
      <xdr:col>2</xdr:col>
      <xdr:colOff>389386</xdr:colOff>
      <xdr:row>17</xdr:row>
      <xdr:rowOff>73069</xdr:rowOff>
    </xdr:to>
    <mc:AlternateContent xmlns:mc="http://schemas.openxmlformats.org/markup-compatibility/2006" xmlns:sle15="http://schemas.microsoft.com/office/drawing/2012/slicer">
      <mc:Choice Requires="sle15">
        <xdr:graphicFrame macro="">
          <xdr:nvGraphicFramePr>
            <xdr:cNvPr id="8" name="Slicer_Country_WHR_Final">
              <a:extLst>
                <a:ext uri="{FF2B5EF4-FFF2-40B4-BE49-F238E27FC236}">
                  <a16:creationId xmlns:a16="http://schemas.microsoft.com/office/drawing/2014/main" id="{02B3FE20-592D-CFE3-A0DA-18437CCA3F11}"/>
                </a:ext>
              </a:extLst>
            </xdr:cNvPr>
            <xdr:cNvGraphicFramePr/>
          </xdr:nvGraphicFramePr>
          <xdr:xfrm>
            <a:off x="0" y="0"/>
            <a:ext cx="0" cy="0"/>
          </xdr:xfrm>
          <a:graphic>
            <a:graphicData uri="http://schemas.microsoft.com/office/drawing/2010/slicer">
              <sle:slicer xmlns:sle="http://schemas.microsoft.com/office/drawing/2010/slicer" name="Slicer_Country_WHR_Final"/>
            </a:graphicData>
          </a:graphic>
        </xdr:graphicFrame>
      </mc:Choice>
      <mc:Fallback xmlns="">
        <xdr:sp macro="" textlink="">
          <xdr:nvSpPr>
            <xdr:cNvPr id="0" name=""/>
            <xdr:cNvSpPr>
              <a:spLocks noTextEdit="1"/>
            </xdr:cNvSpPr>
          </xdr:nvSpPr>
          <xdr:spPr>
            <a:xfrm>
              <a:off x="8012865" y="735800"/>
              <a:ext cx="2794000" cy="2834118"/>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9FC1FF2-09E0-41B5-9302-0AA64D881477}" sourceName="Region">
  <extLst>
    <x:ext xmlns:x15="http://schemas.microsoft.com/office/spreadsheetml/2010/11/main" uri="{2F2917AC-EB37-4324-AD4E-5DD8C200BD13}">
      <x15:tableSlicerCache tableId="2" column="9"/>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A49CBE9-2A91-4F1F-956F-03F0D856004E}" sourceName="Country">
  <extLst>
    <x:ext xmlns:x15="http://schemas.microsoft.com/office/spreadsheetml/2010/11/main" uri="{2F2917AC-EB37-4324-AD4E-5DD8C200BD13}">
      <x15:tableSlicerCache tableId="2" column="1"/>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564FF7F1-BB15-4B9C-B9FE-FC2D22B541FC}" sourceName="Country">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BFA9D2DB-59D3-4DD2-B08E-7523F0F78DE3}" cache="Slicer_Country1" caption="Country" startItem="48" style="SlicerStyleLight6"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icer_Region_WHR_Final" xr10:uid="{0B4EB111-CBFE-4BEE-80B5-B8A23AC206A0}" cache="Slicer_Region" caption="Region" rowHeight="209550"/>
  <slicer name="Slicer_Country_WHR_Final" xr10:uid="{5AFF7017-8CC0-40AE-BF66-4FDD0A48D5D9}" cache="Slicer_Country" caption="Country"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D72962-92D8-47A7-9371-03EC02D65332}" name="WHR_Data" displayName="WHR_Data" ref="A1:J144" totalsRowShown="0">
  <autoFilter ref="A1:J144" xr:uid="{1ED72962-92D8-47A7-9371-03EC02D65332}"/>
  <tableColumns count="10">
    <tableColumn id="1" xr3:uid="{F74E89A8-46C5-4076-B61E-A681F4233317}" name="Country"/>
    <tableColumn id="2" xr3:uid="{AC580459-F820-446B-B609-8358BA9E3C31}" name="Happiness Score"/>
    <tableColumn id="3" xr3:uid="{9E028C80-99B7-4129-91B7-D42AC980EB48}" name="GDP per Capita"/>
    <tableColumn id="4" xr3:uid="{584B7101-E0E2-4596-8E85-03E346C51ADD}" name="Social Support"/>
    <tableColumn id="5" xr3:uid="{2031D804-3BD1-4421-920B-9F08F9D9A602}" name="Healthy Life Expectancy"/>
    <tableColumn id="6" xr3:uid="{3F4E3455-A566-48EC-8CBC-EC80E6E517EC}" name="Freedom"/>
    <tableColumn id="7" xr3:uid="{7490EA9D-E192-4987-B497-90409832761F}" name="Perceptions of Corruption"/>
    <tableColumn id="8" xr3:uid="{FD46CEE0-ADD8-43A5-8DB0-FBB23D077278}" name="Year"/>
    <tableColumn id="9" xr3:uid="{9ED8CC57-889F-48EF-AAF6-D5C9A5455C5E}" name="Region"/>
    <tableColumn id="10" xr3:uid="{AD7CAEA2-2F0D-4F7E-B612-C6592271DFB4}" name="Visible">
      <calculatedColumnFormula>SUBTOTAL(103,WHR_Data[[#This Row],[Country]])</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8DB475-9336-4EAB-B17A-2051591C7579}" name="Table1" displayName="Table1" ref="A1:H144" totalsRowShown="0" headerRowDxfId="16" dataDxfId="15" tableBorderDxfId="14">
  <autoFilter ref="A1:H144" xr:uid="{658DB475-9336-4EAB-B17A-2051591C7579}">
    <filterColumn colId="0">
      <filters>
        <filter val="India"/>
      </filters>
    </filterColumn>
  </autoFilter>
  <tableColumns count="8">
    <tableColumn id="1" xr3:uid="{85698AF3-E078-4F80-97FF-962A8343004A}" name="Country" dataDxfId="13"/>
    <tableColumn id="2" xr3:uid="{F9A3434B-CAC6-453F-925A-2003452B2296}" name="Happiness Score" dataDxfId="12"/>
    <tableColumn id="3" xr3:uid="{4F105096-8833-42CB-92EF-12989239C827}" name="GDP" dataDxfId="11"/>
    <tableColumn id="4" xr3:uid="{E1FDE1CC-73C8-4656-A5B7-E8D091D73EE8}" name="Social Support" dataDxfId="10"/>
    <tableColumn id="5" xr3:uid="{67764667-35EF-45DD-ADDA-AB1DF4DDEF43}" name="Health" dataDxfId="9"/>
    <tableColumn id="6" xr3:uid="{1EBA0BC1-123B-4DED-82C1-69AA207B1CA5}" name="Freedom" dataDxfId="8"/>
    <tableColumn id="7" xr3:uid="{0034934D-D913-4ACE-8EC9-C64E277B1CA3}" name="Corruption" dataDxfId="7"/>
    <tableColumn id="8" xr3:uid="{132DDD87-4B5C-4FD2-AE85-8D8AEED8868D}" name="Year" dataDxfId="6"/>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0EA673C-DD24-4EDD-821D-9A27722600F8}" name="Table3" displayName="Table3" ref="A3:B14" totalsRowShown="0" headerRowDxfId="5" tableBorderDxfId="4">
  <autoFilter ref="A3:B14" xr:uid="{C0EA673C-DD24-4EDD-821D-9A27722600F8}"/>
  <tableColumns count="2">
    <tableColumn id="1" xr3:uid="{1ED0B627-D1A0-41EA-90B9-81E5329F5943}" name="Top 10 Happiest Countries" dataDxfId="3">
      <calculatedColumnFormula array="1">IFERROR(INDEX(_xlfn._xlws.FILTER(WHR_Data[Country],WHR_Data[Visible]=1),MATCH(B4,_xlfn._xlws.FILTER(WHR_Data[Happiness Score],WHR_Data[Visible]=1),0)),"")</calculatedColumnFormula>
    </tableColumn>
    <tableColumn id="2" xr3:uid="{3703C1EA-F1BE-4074-B4B2-0A73204FF1A7}" name="Column1" dataDxfId="2">
      <calculatedColumnFormula array="1">IFERROR(LARGE(_xlfn._xlws.FILTER(WHR_Data[Happiness Score],WHR_Data[Visible]=1),ROWS($B4:B$5)),"")</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 dockstate="right" visibility="0" width="438" row="5">
    <wetp:webextensionref xmlns:r="http://schemas.openxmlformats.org/officeDocument/2006/relationships" r:id="rId2"/>
  </wetp:taskpane>
  <wetp:taskpane dockstate="right" visibility="0" width="438" row="6">
    <wetp:webextensionref xmlns:r="http://schemas.openxmlformats.org/officeDocument/2006/relationships" r:id="rId3"/>
  </wetp:taskpane>
</wetp:taskpanes>
</file>

<file path=xl/webextensions/webextension1.xml><?xml version="1.0" encoding="utf-8"?>
<we:webextension xmlns:we="http://schemas.microsoft.com/office/webextensions/webextension/2010/11" id="{9EF0644C-1097-46B1-94A7-32E26AF20522}">
  <we:reference id="wa200009404" version="1.0.0.8" store="en-US" storeType="OMEX"/>
  <we:alternateReferences>
    <we:reference id="wa200009404" version="1.0.0.8" store="wa200009404" storeType="OMEX"/>
  </we:alternateReferences>
  <we:properties>
    <we:property name="claude.fileId" value="&quot;325ee53c-35cc-4dae-bc3e-f2a97b297ab4&quot;"/>
  </we:properties>
  <we:bindings/>
  <we:snapshot xmlns:r="http://schemas.openxmlformats.org/officeDocument/2006/relationships"/>
</we:webextension>
</file>

<file path=xl/webextensions/webextension2.xml><?xml version="1.0" encoding="utf-8"?>
<we:webextension xmlns:we="http://schemas.microsoft.com/office/webextensions/webextension/2010/11" id="{5BC0F8DD-7DCE-4F50-B11F-83C0523FADF8}">
  <we:reference id="wa200010725" version="1.0.0.1" store="en-US" storeType="OMEX"/>
  <we:alternateReferences>
    <we:reference id="wa200010725" version="1.0.0.1" store="wa200010725" storeType="OMEX"/>
  </we:alternateReferences>
  <we:properties>
    <we:property name="claude.fileId" value="&quot;f45b79be-c248-4b00-9f67-64e49733e3e9&quot;"/>
  </we:properties>
  <we:bindings/>
  <we:snapshot xmlns:r="http://schemas.openxmlformats.org/officeDocument/2006/relationships"/>
</we:webextension>
</file>

<file path=xl/webextensions/webextension3.xml><?xml version="1.0" encoding="utf-8"?>
<we:webextension xmlns:we="http://schemas.microsoft.com/office/webextensions/webextension/2010/11" id="{59D0379A-E3E6-4D06-A5FD-FDCD37619FAF}">
  <we:reference id="wa200010215" version="2.0.0.0" store="en-US" storeType="OMEX"/>
  <we:alternateReferences>
    <we:reference id="wa200010215" version="2.0.0.0" store="wa200010215"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9490D-F029-4FDB-93D4-15F951804623}">
  <sheetPr>
    <tabColor rgb="FF70AD47"/>
  </sheetPr>
  <dimension ref="A1:J144"/>
  <sheetViews>
    <sheetView showGridLines="0" workbookViewId="0">
      <pane ySplit="1" topLeftCell="A2" activePane="bottomLeft" state="frozen"/>
      <selection activeCell="C1" sqref="C1"/>
      <selection pane="bottomLeft" activeCell="K20" sqref="K20"/>
    </sheetView>
  </sheetViews>
  <sheetFormatPr defaultRowHeight="13.2" x14ac:dyDescent="0.25"/>
  <cols>
    <col min="1" max="1" width="22.109375" style="1" bestFit="1" customWidth="1"/>
    <col min="2" max="2" width="18.109375" style="1" bestFit="1" customWidth="1"/>
    <col min="3" max="3" width="16.88671875" style="1" bestFit="1" customWidth="1"/>
    <col min="4" max="4" width="16.21875" style="1" bestFit="1" customWidth="1"/>
    <col min="5" max="5" width="24.44140625" style="1" bestFit="1" customWidth="1"/>
    <col min="6" max="6" width="10.88671875" style="1" bestFit="1" customWidth="1"/>
    <col min="7" max="7" width="26.33203125" style="1" bestFit="1" customWidth="1"/>
    <col min="8" max="8" width="7.109375" bestFit="1" customWidth="1"/>
    <col min="9" max="9" width="32" bestFit="1" customWidth="1"/>
    <col min="10" max="10" width="0" hidden="1" customWidth="1"/>
  </cols>
  <sheetData>
    <row r="1" spans="1:10" x14ac:dyDescent="0.25">
      <c r="A1" t="s">
        <v>141</v>
      </c>
      <c r="B1" t="s">
        <v>140</v>
      </c>
      <c r="C1" t="s">
        <v>147</v>
      </c>
      <c r="D1" t="s">
        <v>142</v>
      </c>
      <c r="E1" t="s">
        <v>148</v>
      </c>
      <c r="F1" t="s">
        <v>143</v>
      </c>
      <c r="G1" t="s">
        <v>149</v>
      </c>
      <c r="H1" t="s">
        <v>146</v>
      </c>
      <c r="I1" t="s">
        <v>150</v>
      </c>
      <c r="J1" t="s">
        <v>151</v>
      </c>
    </row>
    <row r="2" spans="1:10" x14ac:dyDescent="0.25">
      <c r="A2" t="s">
        <v>0</v>
      </c>
      <c r="B2" s="1">
        <v>7.7406997680664063</v>
      </c>
      <c r="C2" s="1">
        <v>1.8440535068511963</v>
      </c>
      <c r="D2" s="1">
        <v>1.5723668336868286</v>
      </c>
      <c r="E2" s="1">
        <v>0.69479256868362427</v>
      </c>
      <c r="F2" s="1">
        <v>0.85929417610168457</v>
      </c>
      <c r="G2" s="1">
        <v>0.54615777730941772</v>
      </c>
      <c r="H2" s="2">
        <v>2025</v>
      </c>
      <c r="I2" t="s">
        <v>152</v>
      </c>
      <c r="J2">
        <f>SUBTOTAL(103,WHR_Data[[#This Row],[Country]])</f>
        <v>1</v>
      </c>
    </row>
    <row r="3" spans="1:10" x14ac:dyDescent="0.25">
      <c r="A3" t="s">
        <v>1</v>
      </c>
      <c r="B3" s="1">
        <v>7.5826997756958008</v>
      </c>
      <c r="C3" s="1">
        <v>1.9077976942062378</v>
      </c>
      <c r="D3" s="1">
        <v>1.5203613042831421</v>
      </c>
      <c r="E3" s="1">
        <v>0.69894444942474365</v>
      </c>
      <c r="F3" s="1">
        <v>0.82273989915847778</v>
      </c>
      <c r="G3" s="1">
        <v>0.54841285943984985</v>
      </c>
      <c r="H3" s="2">
        <v>2025</v>
      </c>
      <c r="I3" t="s">
        <v>152</v>
      </c>
      <c r="J3">
        <f>SUBTOTAL(103,WHR_Data[[#This Row],[Country]])</f>
        <v>1</v>
      </c>
    </row>
    <row r="4" spans="1:10" x14ac:dyDescent="0.25">
      <c r="A4" t="s">
        <v>2</v>
      </c>
      <c r="B4" s="1">
        <v>7.5251002311706543</v>
      </c>
      <c r="C4" s="1">
        <v>1.8807179927825928</v>
      </c>
      <c r="D4" s="1">
        <v>1.616525411605835</v>
      </c>
      <c r="E4" s="1">
        <v>0.71834468841552734</v>
      </c>
      <c r="F4" s="1">
        <v>0.81850868463516235</v>
      </c>
      <c r="G4" s="1">
        <v>0.18247270584106445</v>
      </c>
      <c r="H4" s="2">
        <v>2025</v>
      </c>
      <c r="I4" t="s">
        <v>152</v>
      </c>
      <c r="J4">
        <f>SUBTOTAL(103,WHR_Data[[#This Row],[Country]])</f>
        <v>1</v>
      </c>
    </row>
    <row r="5" spans="1:10" x14ac:dyDescent="0.25">
      <c r="A5" t="s">
        <v>4</v>
      </c>
      <c r="B5" s="1">
        <v>7.3440999984741211</v>
      </c>
      <c r="C5" s="1">
        <v>1.8781455755233765</v>
      </c>
      <c r="D5" s="1">
        <v>1.5008261203765869</v>
      </c>
      <c r="E5" s="1">
        <v>0.72387146949768066</v>
      </c>
      <c r="F5" s="1">
        <v>0.83826935291290283</v>
      </c>
      <c r="G5" s="1">
        <v>0.523795485496521</v>
      </c>
      <c r="H5" s="2">
        <v>2025</v>
      </c>
      <c r="I5" t="s">
        <v>152</v>
      </c>
      <c r="J5">
        <f>SUBTOTAL(103,WHR_Data[[#This Row],[Country]])</f>
        <v>1</v>
      </c>
    </row>
    <row r="6" spans="1:10" x14ac:dyDescent="0.25">
      <c r="A6" t="s">
        <v>5</v>
      </c>
      <c r="B6" s="1">
        <v>7.3411002159118652</v>
      </c>
      <c r="C6" s="1">
        <v>1.8029335737228394</v>
      </c>
      <c r="D6" s="1">
        <v>1.5127928256988525</v>
      </c>
      <c r="E6" s="1">
        <v>0.73981618881225586</v>
      </c>
      <c r="F6" s="1">
        <v>0.64146286249160767</v>
      </c>
      <c r="G6" s="1">
        <v>0.19282267987728119</v>
      </c>
      <c r="H6" s="2">
        <v>2025</v>
      </c>
      <c r="I6" t="s">
        <v>152</v>
      </c>
      <c r="J6">
        <f>SUBTOTAL(103,WHR_Data[[#This Row],[Country]])</f>
        <v>1</v>
      </c>
    </row>
    <row r="7" spans="1:10" x14ac:dyDescent="0.25">
      <c r="A7" t="s">
        <v>3</v>
      </c>
      <c r="B7" s="1">
        <v>7.3193998336791992</v>
      </c>
      <c r="C7" s="1">
        <v>1.9006567001342773</v>
      </c>
      <c r="D7" s="1">
        <v>1.4620469808578491</v>
      </c>
      <c r="E7" s="1">
        <v>0.705882728099823</v>
      </c>
      <c r="F7" s="1">
        <v>0.72508126497268677</v>
      </c>
      <c r="G7" s="1">
        <v>0.37242096662521362</v>
      </c>
      <c r="H7" s="2">
        <v>2025</v>
      </c>
      <c r="I7" t="s">
        <v>152</v>
      </c>
      <c r="J7">
        <f>SUBTOTAL(103,WHR_Data[[#This Row],[Country]])</f>
        <v>1</v>
      </c>
    </row>
    <row r="8" spans="1:10" x14ac:dyDescent="0.25">
      <c r="A8" t="s">
        <v>5</v>
      </c>
      <c r="B8" s="1">
        <v>7.3017001152038574</v>
      </c>
      <c r="C8" s="1">
        <v>1.9519555568695068</v>
      </c>
      <c r="D8" s="1">
        <v>1.5165399312973022</v>
      </c>
      <c r="E8" s="1">
        <v>0.70379221439361572</v>
      </c>
      <c r="F8" s="1">
        <v>0.83537572622299194</v>
      </c>
      <c r="G8" s="1">
        <v>0.48393255472183228</v>
      </c>
      <c r="H8" s="2">
        <v>2025</v>
      </c>
      <c r="I8" t="s">
        <v>152</v>
      </c>
      <c r="J8">
        <f>SUBTOTAL(103,WHR_Data[[#This Row],[Country]])</f>
        <v>1</v>
      </c>
    </row>
    <row r="9" spans="1:10" x14ac:dyDescent="0.25">
      <c r="A9" t="s">
        <v>7</v>
      </c>
      <c r="B9" s="1">
        <v>7.1219000816345215</v>
      </c>
      <c r="C9" s="1">
        <v>2.1405189037322998</v>
      </c>
      <c r="D9" s="1">
        <v>1.3546255826950073</v>
      </c>
      <c r="E9" s="1">
        <v>0.70760393142700195</v>
      </c>
      <c r="F9" s="1">
        <v>0.80121308565139771</v>
      </c>
      <c r="G9" s="1">
        <v>0.43241101503372192</v>
      </c>
      <c r="H9" s="2">
        <v>2025</v>
      </c>
      <c r="I9" t="s">
        <v>152</v>
      </c>
      <c r="J9">
        <f>SUBTOTAL(103,WHR_Data[[#This Row],[Country]])</f>
        <v>1</v>
      </c>
    </row>
    <row r="10" spans="1:10" x14ac:dyDescent="0.25">
      <c r="A10" t="s">
        <v>6</v>
      </c>
      <c r="B10" s="1">
        <v>7.0602002143859863</v>
      </c>
      <c r="C10" s="1">
        <v>1.9702684879302979</v>
      </c>
      <c r="D10" s="1">
        <v>1.4249322414398193</v>
      </c>
      <c r="E10" s="1">
        <v>0.74674350023269653</v>
      </c>
      <c r="F10" s="1">
        <v>0.75915956497192383</v>
      </c>
      <c r="G10" s="1">
        <v>0.49761265516281128</v>
      </c>
      <c r="H10" s="2">
        <v>2025</v>
      </c>
      <c r="I10" t="s">
        <v>152</v>
      </c>
      <c r="J10">
        <f>SUBTOTAL(103,WHR_Data[[#This Row],[Country]])</f>
        <v>1</v>
      </c>
    </row>
    <row r="11" spans="1:10" x14ac:dyDescent="0.25">
      <c r="A11" t="s">
        <v>10</v>
      </c>
      <c r="B11" s="1">
        <v>7.0569000244140625</v>
      </c>
      <c r="C11" s="1">
        <v>1.8542584180831909</v>
      </c>
      <c r="D11" s="1">
        <v>1.4610912799835205</v>
      </c>
      <c r="E11" s="1">
        <v>0.69201797246932983</v>
      </c>
      <c r="F11" s="1">
        <v>0.7562706470489502</v>
      </c>
      <c r="G11" s="1">
        <v>0.32335191965103149</v>
      </c>
      <c r="H11" s="2">
        <v>2025</v>
      </c>
      <c r="I11" t="s">
        <v>153</v>
      </c>
      <c r="J11">
        <f>SUBTOTAL(103,WHR_Data[[#This Row],[Country]])</f>
        <v>1</v>
      </c>
    </row>
    <row r="12" spans="1:10" x14ac:dyDescent="0.25">
      <c r="A12" t="s">
        <v>8</v>
      </c>
      <c r="B12" s="1">
        <v>7.0292000770568848</v>
      </c>
      <c r="C12" s="1">
        <v>1.8103488683700562</v>
      </c>
      <c r="D12" s="1">
        <v>1.5269402265548706</v>
      </c>
      <c r="E12" s="1">
        <v>0.67262148857116699</v>
      </c>
      <c r="F12" s="1">
        <v>0.74554717540740967</v>
      </c>
      <c r="G12" s="1">
        <v>0.48021689057350159</v>
      </c>
      <c r="H12" s="2">
        <v>2025</v>
      </c>
      <c r="I12" t="s">
        <v>153</v>
      </c>
      <c r="J12">
        <f>SUBTOTAL(103,WHR_Data[[#This Row],[Country]])</f>
        <v>1</v>
      </c>
    </row>
    <row r="13" spans="1:10" x14ac:dyDescent="0.25">
      <c r="A13" t="s">
        <v>20</v>
      </c>
      <c r="B13" s="1">
        <v>6.9553999900817871</v>
      </c>
      <c r="C13" s="1">
        <v>1.5606451034545898</v>
      </c>
      <c r="D13" s="1">
        <v>1.3730103969573975</v>
      </c>
      <c r="E13" s="1">
        <v>0.66084557771682739</v>
      </c>
      <c r="F13" s="1">
        <v>0.79651153087615967</v>
      </c>
      <c r="G13" s="1">
        <v>0.1229485422372818</v>
      </c>
      <c r="H13" s="2">
        <v>2025</v>
      </c>
      <c r="I13" t="s">
        <v>154</v>
      </c>
      <c r="J13">
        <f>SUBTOTAL(103,WHR_Data[[#This Row],[Country]])</f>
        <v>1</v>
      </c>
    </row>
    <row r="14" spans="1:10" x14ac:dyDescent="0.25">
      <c r="A14" t="s">
        <v>134</v>
      </c>
      <c r="B14" s="1">
        <v>6.9513998031616211</v>
      </c>
      <c r="C14" s="1">
        <v>1.8450720310211182</v>
      </c>
      <c r="D14" s="1">
        <v>1.3636543750762939</v>
      </c>
      <c r="E14" s="1">
        <v>0.66117829084396362</v>
      </c>
      <c r="F14" s="1">
        <v>0.82658016681671143</v>
      </c>
      <c r="G14" s="1">
        <v>0.17166642844676971</v>
      </c>
      <c r="H14" s="2">
        <v>2025</v>
      </c>
      <c r="I14" t="s">
        <v>155</v>
      </c>
      <c r="J14">
        <f>SUBTOTAL(103,WHR_Data[[#This Row],[Country]])</f>
        <v>1</v>
      </c>
    </row>
    <row r="15" spans="1:10" x14ac:dyDescent="0.25">
      <c r="A15" t="s">
        <v>9</v>
      </c>
      <c r="B15" s="1">
        <v>6.9046998023986816</v>
      </c>
      <c r="C15" s="1">
        <v>1.8852653503417969</v>
      </c>
      <c r="D15" s="1">
        <v>1.3363960981369019</v>
      </c>
      <c r="E15" s="1">
        <v>0.69617384672164917</v>
      </c>
      <c r="F15" s="1">
        <v>0.70274490118026733</v>
      </c>
      <c r="G15" s="1">
        <v>0.30455476045608521</v>
      </c>
      <c r="H15" s="2">
        <v>2025</v>
      </c>
      <c r="I15" t="s">
        <v>152</v>
      </c>
      <c r="J15">
        <f>SUBTOTAL(103,WHR_Data[[#This Row],[Country]])</f>
        <v>1</v>
      </c>
    </row>
    <row r="16" spans="1:10" x14ac:dyDescent="0.25">
      <c r="A16" t="s">
        <v>11</v>
      </c>
      <c r="B16" s="1">
        <v>6.8996000289916992</v>
      </c>
      <c r="C16" s="1">
        <v>1.8397207260131836</v>
      </c>
      <c r="D16" s="1">
        <v>1.4586304426193237</v>
      </c>
      <c r="E16" s="1">
        <v>0.70102101564407349</v>
      </c>
      <c r="F16" s="1">
        <v>0.7300763726234436</v>
      </c>
      <c r="G16" s="1">
        <v>0.36821934580802917</v>
      </c>
      <c r="H16" s="2">
        <v>2025</v>
      </c>
      <c r="I16" t="s">
        <v>153</v>
      </c>
      <c r="J16">
        <f>SUBTOTAL(103,WHR_Data[[#This Row],[Country]])</f>
        <v>1</v>
      </c>
    </row>
    <row r="17" spans="1:10" x14ac:dyDescent="0.25">
      <c r="A17" t="s">
        <v>15</v>
      </c>
      <c r="B17" s="1">
        <v>6.8941998481750488</v>
      </c>
      <c r="C17" s="1">
        <v>1.8680410385131836</v>
      </c>
      <c r="D17" s="1">
        <v>1.4404232501983643</v>
      </c>
      <c r="E17" s="1">
        <v>0.68993294239044189</v>
      </c>
      <c r="F17" s="1">
        <v>0.72876101732254028</v>
      </c>
      <c r="G17" s="1">
        <v>0.31080135703086853</v>
      </c>
      <c r="H17" s="2">
        <v>2025</v>
      </c>
      <c r="I17" t="s">
        <v>152</v>
      </c>
      <c r="J17">
        <f>SUBTOTAL(103,WHR_Data[[#This Row],[Country]])</f>
        <v>1</v>
      </c>
    </row>
    <row r="18" spans="1:10" x14ac:dyDescent="0.25">
      <c r="A18" t="s">
        <v>12</v>
      </c>
      <c r="B18" s="1">
        <v>6.8379998207092285</v>
      </c>
      <c r="C18" s="1">
        <v>2.1288285255432129</v>
      </c>
      <c r="D18" s="1">
        <v>1.3898677825927734</v>
      </c>
      <c r="E18" s="1">
        <v>0.69963717460632324</v>
      </c>
      <c r="F18" s="1">
        <v>0.75762069225311279</v>
      </c>
      <c r="G18" s="1">
        <v>0.4181419312953949</v>
      </c>
      <c r="H18" s="2">
        <v>2025</v>
      </c>
      <c r="I18" t="s">
        <v>152</v>
      </c>
      <c r="J18">
        <f>SUBTOTAL(103,WHR_Data[[#This Row],[Country]])</f>
        <v>1</v>
      </c>
    </row>
    <row r="19" spans="1:10" x14ac:dyDescent="0.25">
      <c r="A19" t="s">
        <v>129</v>
      </c>
      <c r="B19" s="1">
        <v>6.8218002319335938</v>
      </c>
      <c r="C19" s="1">
        <v>1.783191442489624</v>
      </c>
      <c r="D19" s="1">
        <v>1.5110107660293579</v>
      </c>
      <c r="E19" s="1">
        <v>0.637978196144104</v>
      </c>
      <c r="F19" s="1">
        <v>0.78650104999542236</v>
      </c>
      <c r="G19" s="1">
        <v>6.7852526903152466E-2</v>
      </c>
      <c r="H19" s="2">
        <v>2025</v>
      </c>
      <c r="I19" t="s">
        <v>156</v>
      </c>
      <c r="J19">
        <f>SUBTOTAL(103,WHR_Data[[#This Row],[Country]])</f>
        <v>1</v>
      </c>
    </row>
    <row r="20" spans="1:10" x14ac:dyDescent="0.25">
      <c r="A20" t="s">
        <v>17</v>
      </c>
      <c r="B20" s="1">
        <v>6.817500114440918</v>
      </c>
      <c r="C20" s="1">
        <v>1.7656822204589844</v>
      </c>
      <c r="D20" s="1">
        <v>1.4535820484161377</v>
      </c>
      <c r="E20" s="1">
        <v>0.59839785099029541</v>
      </c>
      <c r="F20" s="1">
        <v>0.53268539905548096</v>
      </c>
      <c r="G20" s="1">
        <v>0.11584359407424927</v>
      </c>
      <c r="H20" s="2">
        <v>2025</v>
      </c>
      <c r="I20" t="s">
        <v>156</v>
      </c>
      <c r="J20">
        <f>SUBTOTAL(103,WHR_Data[[#This Row],[Country]])</f>
        <v>1</v>
      </c>
    </row>
    <row r="21" spans="1:10" x14ac:dyDescent="0.25">
      <c r="A21" t="s">
        <v>16</v>
      </c>
      <c r="B21" s="1">
        <v>6.749000072479248</v>
      </c>
      <c r="C21" s="1">
        <v>1.8222154378890991</v>
      </c>
      <c r="D21" s="1">
        <v>1.3261128664016724</v>
      </c>
      <c r="E21" s="1">
        <v>0.67192769050598145</v>
      </c>
      <c r="F21" s="1">
        <v>0.71310406923294067</v>
      </c>
      <c r="G21" s="1">
        <v>0.35134166479110718</v>
      </c>
      <c r="H21" s="2">
        <v>2025</v>
      </c>
      <c r="I21" t="s">
        <v>152</v>
      </c>
      <c r="J21">
        <f>SUBTOTAL(103,WHR_Data[[#This Row],[Country]])</f>
        <v>1</v>
      </c>
    </row>
    <row r="22" spans="1:10" x14ac:dyDescent="0.25">
      <c r="A22" t="s">
        <v>19</v>
      </c>
      <c r="B22" s="1">
        <v>6.7432999610900879</v>
      </c>
      <c r="C22" s="1">
        <v>1.785599946975708</v>
      </c>
      <c r="D22" s="1">
        <v>1.5022037029266357</v>
      </c>
      <c r="E22" s="1">
        <v>0.69478285312652588</v>
      </c>
      <c r="F22" s="1">
        <v>0.78949558734893799</v>
      </c>
      <c r="G22" s="1">
        <v>0.13059186935424805</v>
      </c>
      <c r="H22" s="2">
        <v>2025</v>
      </c>
      <c r="I22" t="s">
        <v>156</v>
      </c>
      <c r="J22">
        <f>SUBTOTAL(103,WHR_Data[[#This Row],[Country]])</f>
        <v>1</v>
      </c>
    </row>
    <row r="23" spans="1:10" x14ac:dyDescent="0.25">
      <c r="A23" t="s">
        <v>23</v>
      </c>
      <c r="B23" s="1">
        <v>6.7330999374389648</v>
      </c>
      <c r="C23" s="1">
        <v>1.9831197261810303</v>
      </c>
      <c r="D23" s="1">
        <v>1.163949728012085</v>
      </c>
      <c r="E23" s="1">
        <v>0.56257724761962891</v>
      </c>
      <c r="F23" s="1">
        <v>0.81499636173248291</v>
      </c>
      <c r="G23" s="1">
        <v>0.25830468535423279</v>
      </c>
      <c r="H23" s="2">
        <v>2025</v>
      </c>
      <c r="I23" t="s">
        <v>155</v>
      </c>
      <c r="J23">
        <f>SUBTOTAL(103,WHR_Data[[#This Row],[Country]])</f>
        <v>1</v>
      </c>
    </row>
    <row r="24" spans="1:10" x14ac:dyDescent="0.25">
      <c r="A24" t="s">
        <v>13</v>
      </c>
      <c r="B24" s="1">
        <v>6.7248001098632813</v>
      </c>
      <c r="C24" s="1">
        <v>1.9388630390167236</v>
      </c>
      <c r="D24" s="1">
        <v>1.3917354345321655</v>
      </c>
      <c r="E24" s="1">
        <v>0.54240137338638306</v>
      </c>
      <c r="F24" s="1">
        <v>0.58635401725769043</v>
      </c>
      <c r="G24" s="1">
        <v>0.16915079951286316</v>
      </c>
      <c r="H24" s="2">
        <v>2025</v>
      </c>
      <c r="I24" t="s">
        <v>153</v>
      </c>
      <c r="J24">
        <f>SUBTOTAL(103,WHR_Data[[#This Row],[Country]])</f>
        <v>1</v>
      </c>
    </row>
    <row r="25" spans="1:10" x14ac:dyDescent="0.25">
      <c r="A25" t="s">
        <v>14</v>
      </c>
      <c r="B25" s="1">
        <v>6.7185001373291016</v>
      </c>
      <c r="C25" s="1">
        <v>1.8713324069976807</v>
      </c>
      <c r="D25" s="1">
        <v>1.3896832466125488</v>
      </c>
      <c r="E25" s="1">
        <v>0.70241111516952515</v>
      </c>
      <c r="F25" s="1">
        <v>0.69984734058380127</v>
      </c>
      <c r="G25" s="1">
        <v>0.36781448125839233</v>
      </c>
      <c r="H25" s="2">
        <v>2025</v>
      </c>
      <c r="I25" t="s">
        <v>152</v>
      </c>
      <c r="J25">
        <f>SUBTOTAL(103,WHR_Data[[#This Row],[Country]])</f>
        <v>1</v>
      </c>
    </row>
    <row r="26" spans="1:10" x14ac:dyDescent="0.25">
      <c r="A26" t="s">
        <v>32</v>
      </c>
      <c r="B26" s="1">
        <v>6.6779999732971191</v>
      </c>
      <c r="C26" s="1">
        <v>1.5207414627075195</v>
      </c>
      <c r="D26" s="1">
        <v>1.2411946058273315</v>
      </c>
      <c r="E26" s="1">
        <v>0.54447031021118164</v>
      </c>
      <c r="F26" s="1">
        <v>0.7221110463142395</v>
      </c>
      <c r="G26" s="1">
        <v>0.12664742767810822</v>
      </c>
      <c r="H26" s="2">
        <v>2025</v>
      </c>
      <c r="I26" t="s">
        <v>154</v>
      </c>
      <c r="J26">
        <f>SUBTOTAL(103,WHR_Data[[#This Row],[Country]])</f>
        <v>1</v>
      </c>
    </row>
    <row r="27" spans="1:10" x14ac:dyDescent="0.25">
      <c r="A27" t="s">
        <v>24</v>
      </c>
      <c r="B27" s="1">
        <v>6.6114997863769531</v>
      </c>
      <c r="C27" s="1">
        <v>1.5955692529678345</v>
      </c>
      <c r="D27" s="1">
        <v>1.4314388036727905</v>
      </c>
      <c r="E27" s="1">
        <v>0.59157454967498779</v>
      </c>
      <c r="F27" s="1">
        <v>0.77518963813781738</v>
      </c>
      <c r="G27" s="1">
        <v>0.22047239542007446</v>
      </c>
      <c r="H27" s="2">
        <v>2025</v>
      </c>
      <c r="I27" t="s">
        <v>154</v>
      </c>
      <c r="J27">
        <f>SUBTOTAL(103,WHR_Data[[#This Row],[Country]])</f>
        <v>1</v>
      </c>
    </row>
    <row r="28" spans="1:10" x14ac:dyDescent="0.25">
      <c r="A28" t="s">
        <v>18</v>
      </c>
      <c r="B28" s="1">
        <v>6.6090002059936523</v>
      </c>
      <c r="C28" s="1">
        <v>1.818342924118042</v>
      </c>
      <c r="D28" s="1">
        <v>1.3481022119522095</v>
      </c>
      <c r="E28" s="1">
        <v>0.72734665870666504</v>
      </c>
      <c r="F28" s="1">
        <v>0.64982038736343384</v>
      </c>
      <c r="G28" s="1">
        <v>0.28087812662124634</v>
      </c>
      <c r="H28" s="2">
        <v>2025</v>
      </c>
      <c r="I28" t="s">
        <v>152</v>
      </c>
      <c r="J28">
        <f>SUBTOTAL(103,WHR_Data[[#This Row],[Country]])</f>
        <v>1</v>
      </c>
    </row>
    <row r="29" spans="1:10" x14ac:dyDescent="0.25">
      <c r="A29" t="s">
        <v>26</v>
      </c>
      <c r="B29" s="1">
        <v>6.5935001373291016</v>
      </c>
      <c r="C29" s="1">
        <v>1.8423970937728882</v>
      </c>
      <c r="D29" s="1">
        <v>1.3606481552124023</v>
      </c>
      <c r="E29" s="1">
        <v>0.51123934984207153</v>
      </c>
      <c r="F29" s="1">
        <v>0.78711843490600586</v>
      </c>
      <c r="G29" s="1">
        <v>0.18797534704208374</v>
      </c>
      <c r="H29" s="2">
        <v>2025</v>
      </c>
      <c r="I29" t="s">
        <v>155</v>
      </c>
      <c r="J29">
        <f>SUBTOTAL(103,WHR_Data[[#This Row],[Country]])</f>
        <v>1</v>
      </c>
    </row>
    <row r="30" spans="1:10" x14ac:dyDescent="0.25">
      <c r="A30" t="s">
        <v>30</v>
      </c>
      <c r="B30" s="1">
        <v>6.560999870300293</v>
      </c>
      <c r="C30" s="1">
        <v>1.3642358779907227</v>
      </c>
      <c r="D30" s="1">
        <v>1.2768206596374512</v>
      </c>
      <c r="E30" s="1">
        <v>0.59914642572402954</v>
      </c>
      <c r="F30" s="1">
        <v>0.73933923244476318</v>
      </c>
      <c r="G30" s="1">
        <v>7.2635821998119354E-2</v>
      </c>
      <c r="H30" s="2">
        <v>2025</v>
      </c>
      <c r="I30" t="s">
        <v>156</v>
      </c>
      <c r="J30">
        <f>SUBTOTAL(103,WHR_Data[[#This Row],[Country]])</f>
        <v>1</v>
      </c>
    </row>
    <row r="31" spans="1:10" x14ac:dyDescent="0.25">
      <c r="A31" t="s">
        <v>22</v>
      </c>
      <c r="B31" s="1">
        <v>6.5227999687194824</v>
      </c>
      <c r="C31" s="1">
        <v>2.1180984973907471</v>
      </c>
      <c r="D31" s="1">
        <v>1.3612234592437744</v>
      </c>
      <c r="E31" s="1">
        <v>0.76891559362411499</v>
      </c>
      <c r="F31" s="1">
        <v>0.74294829368591309</v>
      </c>
      <c r="G31" s="1">
        <v>0.57510924339294434</v>
      </c>
      <c r="H31" s="2">
        <v>2025</v>
      </c>
      <c r="I31" t="s">
        <v>157</v>
      </c>
      <c r="J31">
        <f>SUBTOTAL(103,WHR_Data[[#This Row],[Country]])</f>
        <v>1</v>
      </c>
    </row>
    <row r="32" spans="1:10" x14ac:dyDescent="0.25">
      <c r="A32" t="s">
        <v>130</v>
      </c>
      <c r="B32" s="1">
        <v>6.5034999847412109</v>
      </c>
      <c r="C32" s="1">
        <v>1.8415800333023071</v>
      </c>
      <c r="D32" s="1">
        <v>1.3458658456802368</v>
      </c>
      <c r="E32" s="1">
        <v>0.64976215362548828</v>
      </c>
      <c r="F32" s="1">
        <v>0.6490362286567688</v>
      </c>
      <c r="G32" s="1">
        <v>0.20234744250774384</v>
      </c>
      <c r="H32" s="2">
        <v>2025</v>
      </c>
      <c r="I32" t="s">
        <v>158</v>
      </c>
      <c r="J32">
        <f>SUBTOTAL(103,WHR_Data[[#This Row],[Country]])</f>
        <v>1</v>
      </c>
    </row>
    <row r="33" spans="1:10" x14ac:dyDescent="0.25">
      <c r="A33" t="s">
        <v>21</v>
      </c>
      <c r="B33" s="1">
        <v>6.4911999702453613</v>
      </c>
      <c r="C33" s="1">
        <v>1.6990300416946411</v>
      </c>
      <c r="D33" s="1">
        <v>1.235722541809082</v>
      </c>
      <c r="E33" s="1">
        <v>0.58258247375488281</v>
      </c>
      <c r="F33" s="1">
        <v>0.7165672779083252</v>
      </c>
      <c r="G33" s="1">
        <v>6.3170590437948704E-3</v>
      </c>
      <c r="H33" s="2">
        <v>2025</v>
      </c>
      <c r="I33" t="s">
        <v>156</v>
      </c>
      <c r="J33">
        <f>SUBTOTAL(103,WHR_Data[[#This Row],[Country]])</f>
        <v>1</v>
      </c>
    </row>
    <row r="34" spans="1:10" x14ac:dyDescent="0.25">
      <c r="A34" t="s">
        <v>46</v>
      </c>
      <c r="B34" s="1">
        <v>6.4686999320983887</v>
      </c>
      <c r="C34" s="1">
        <v>1.2650809288024902</v>
      </c>
      <c r="D34" s="1">
        <v>1.07977294921875</v>
      </c>
      <c r="E34" s="1">
        <v>0.54873484373092651</v>
      </c>
      <c r="F34" s="1">
        <v>0.81603050231933594</v>
      </c>
      <c r="G34" s="1">
        <v>0.25271326303482056</v>
      </c>
      <c r="H34" s="2">
        <v>2025</v>
      </c>
      <c r="I34" t="s">
        <v>154</v>
      </c>
      <c r="J34">
        <f>SUBTOTAL(103,WHR_Data[[#This Row],[Country]])</f>
        <v>1</v>
      </c>
    </row>
    <row r="35" spans="1:10" x14ac:dyDescent="0.25">
      <c r="A35" t="s">
        <v>27</v>
      </c>
      <c r="B35" s="1">
        <v>6.447700023651123</v>
      </c>
      <c r="C35" s="1">
        <v>1.7518472671508789</v>
      </c>
      <c r="D35" s="1">
        <v>1.5270930528640747</v>
      </c>
      <c r="E35" s="1">
        <v>0.65734779834747314</v>
      </c>
      <c r="F35" s="1">
        <v>0.80537539720535278</v>
      </c>
      <c r="G35" s="1">
        <v>0.40149340033531189</v>
      </c>
      <c r="H35" s="2">
        <v>2025</v>
      </c>
      <c r="I35" t="s">
        <v>156</v>
      </c>
      <c r="J35">
        <f>SUBTOTAL(103,WHR_Data[[#This Row],[Country]])</f>
        <v>1</v>
      </c>
    </row>
    <row r="36" spans="1:10" x14ac:dyDescent="0.25">
      <c r="A36" t="s">
        <v>35</v>
      </c>
      <c r="B36" s="1">
        <v>6.441500186920166</v>
      </c>
      <c r="C36" s="1">
        <v>1.737703800201416</v>
      </c>
      <c r="D36" s="1">
        <v>1.417370080947876</v>
      </c>
      <c r="E36" s="1">
        <v>0.63935500383377075</v>
      </c>
      <c r="F36" s="1">
        <v>0.60003972053527832</v>
      </c>
      <c r="G36" s="1">
        <v>0.17530547082424164</v>
      </c>
      <c r="H36" s="2">
        <v>2025</v>
      </c>
      <c r="I36" t="s">
        <v>156</v>
      </c>
      <c r="J36">
        <f>SUBTOTAL(103,WHR_Data[[#This Row],[Country]])</f>
        <v>1</v>
      </c>
    </row>
    <row r="37" spans="1:10" x14ac:dyDescent="0.25">
      <c r="A37" t="s">
        <v>28</v>
      </c>
      <c r="B37" s="1">
        <v>6.4208998680114746</v>
      </c>
      <c r="C37" s="1">
        <v>1.7661887407302856</v>
      </c>
      <c r="D37" s="1">
        <v>1.4706276655197144</v>
      </c>
      <c r="E37" s="1">
        <v>0.72942513227462769</v>
      </c>
      <c r="F37" s="1">
        <v>0.6189807653427124</v>
      </c>
      <c r="G37" s="1">
        <v>0.17715202271938324</v>
      </c>
      <c r="H37" s="2">
        <v>2025</v>
      </c>
      <c r="I37" t="s">
        <v>152</v>
      </c>
      <c r="J37">
        <f>SUBTOTAL(103,WHR_Data[[#This Row],[Country]])</f>
        <v>1</v>
      </c>
    </row>
    <row r="38" spans="1:10" x14ac:dyDescent="0.25">
      <c r="A38" t="s">
        <v>41</v>
      </c>
      <c r="B38" s="1">
        <v>6.4107999801635742</v>
      </c>
      <c r="C38" s="1">
        <v>1.5378245115280151</v>
      </c>
      <c r="D38" s="1">
        <v>1.3914881944656372</v>
      </c>
      <c r="E38" s="1">
        <v>0.58534294366836548</v>
      </c>
      <c r="F38" s="1">
        <v>0.66322684288024902</v>
      </c>
      <c r="G38" s="1">
        <v>0.10063029080629349</v>
      </c>
      <c r="H38" s="2">
        <v>2025</v>
      </c>
      <c r="I38" t="s">
        <v>156</v>
      </c>
      <c r="J38">
        <f>SUBTOTAL(103,WHR_Data[[#This Row],[Country]])</f>
        <v>1</v>
      </c>
    </row>
    <row r="39" spans="1:10" x14ac:dyDescent="0.25">
      <c r="A39" t="s">
        <v>31</v>
      </c>
      <c r="B39" s="1">
        <v>6.3603000640869141</v>
      </c>
      <c r="C39" s="1">
        <v>1.6164460182189941</v>
      </c>
      <c r="D39" s="1">
        <v>1.3689835071563721</v>
      </c>
      <c r="E39" s="1">
        <v>0.67331045866012573</v>
      </c>
      <c r="F39" s="1">
        <v>0.65083158016204834</v>
      </c>
      <c r="G39" s="1">
        <v>7.5476005673408508E-2</v>
      </c>
      <c r="H39" s="2">
        <v>2025</v>
      </c>
      <c r="I39" t="s">
        <v>154</v>
      </c>
      <c r="J39">
        <f>SUBTOTAL(103,WHR_Data[[#This Row],[Country]])</f>
        <v>1</v>
      </c>
    </row>
    <row r="40" spans="1:10" x14ac:dyDescent="0.25">
      <c r="A40" t="s">
        <v>34</v>
      </c>
      <c r="B40" s="1">
        <v>6.3582000732421875</v>
      </c>
      <c r="C40" s="1">
        <v>1.7017160654067993</v>
      </c>
      <c r="D40" s="1">
        <v>1.3919932842254639</v>
      </c>
      <c r="E40" s="1">
        <v>0.63315385580062866</v>
      </c>
      <c r="F40" s="1">
        <v>0.71992337703704834</v>
      </c>
      <c r="G40" s="1">
        <v>4.2526066303253174E-2</v>
      </c>
      <c r="H40" s="2">
        <v>2025</v>
      </c>
      <c r="I40" t="s">
        <v>154</v>
      </c>
      <c r="J40">
        <f>SUBTOTAL(103,WHR_Data[[#This Row],[Country]])</f>
        <v>1</v>
      </c>
    </row>
    <row r="41" spans="1:10" x14ac:dyDescent="0.25">
      <c r="A41" t="s">
        <v>33</v>
      </c>
      <c r="B41" s="1">
        <v>6.3457999229431152</v>
      </c>
      <c r="C41" s="1">
        <v>1.8269320726394653</v>
      </c>
      <c r="D41" s="1">
        <v>1.4435973167419434</v>
      </c>
      <c r="E41" s="1">
        <v>0.7065659761428833</v>
      </c>
      <c r="F41" s="1">
        <v>0.72701311111450195</v>
      </c>
      <c r="G41" s="1">
        <v>0.12470190227031708</v>
      </c>
      <c r="H41" s="2">
        <v>2025</v>
      </c>
      <c r="I41" t="s">
        <v>152</v>
      </c>
      <c r="J41">
        <f>SUBTOTAL(103,WHR_Data[[#This Row],[Country]])</f>
        <v>1</v>
      </c>
    </row>
    <row r="42" spans="1:10" x14ac:dyDescent="0.25">
      <c r="A42" t="s">
        <v>29</v>
      </c>
      <c r="B42" s="1">
        <v>6.3235001564025879</v>
      </c>
      <c r="C42" s="1">
        <v>1.8001515865325928</v>
      </c>
      <c r="D42" s="1">
        <v>1.328234076499939</v>
      </c>
      <c r="E42" s="1">
        <v>0.71972364187240601</v>
      </c>
      <c r="F42" s="1">
        <v>0.51298743486404419</v>
      </c>
      <c r="G42" s="1">
        <v>7.3561303317546844E-2</v>
      </c>
      <c r="H42" s="2">
        <v>2025</v>
      </c>
      <c r="I42" t="s">
        <v>152</v>
      </c>
      <c r="J42">
        <f>SUBTOTAL(103,WHR_Data[[#This Row],[Country]])</f>
        <v>1</v>
      </c>
    </row>
    <row r="43" spans="1:10" x14ac:dyDescent="0.25">
      <c r="A43" t="s">
        <v>39</v>
      </c>
      <c r="B43" s="1">
        <v>6.2870001792907715</v>
      </c>
      <c r="C43" s="1">
        <v>1.2595252990722656</v>
      </c>
      <c r="D43" s="1">
        <v>1.1688857078552246</v>
      </c>
      <c r="E43" s="1">
        <v>0.46691173315048218</v>
      </c>
      <c r="F43" s="1">
        <v>0.73530352115631104</v>
      </c>
      <c r="G43" s="1">
        <v>7.7771469950675964E-2</v>
      </c>
      <c r="H43" s="2">
        <v>2025</v>
      </c>
      <c r="I43" t="s">
        <v>154</v>
      </c>
      <c r="J43">
        <f>SUBTOTAL(103,WHR_Data[[#This Row],[Country]])</f>
        <v>1</v>
      </c>
    </row>
    <row r="44" spans="1:10" x14ac:dyDescent="0.25">
      <c r="A44" t="s">
        <v>36</v>
      </c>
      <c r="B44" s="1">
        <v>6.2838997840881348</v>
      </c>
      <c r="C44" s="1">
        <v>1.0972721576690674</v>
      </c>
      <c r="D44" s="1">
        <v>1.263219952583313</v>
      </c>
      <c r="E44" s="1">
        <v>0.54240095615386963</v>
      </c>
      <c r="F44" s="1">
        <v>0.79340648651123047</v>
      </c>
      <c r="G44" s="1">
        <v>0.25100430846214294</v>
      </c>
      <c r="H44" s="2">
        <v>2025</v>
      </c>
      <c r="I44" t="s">
        <v>154</v>
      </c>
      <c r="J44">
        <f>SUBTOTAL(103,WHR_Data[[#This Row],[Country]])</f>
        <v>1</v>
      </c>
    </row>
    <row r="45" spans="1:10" x14ac:dyDescent="0.25">
      <c r="A45" t="s">
        <v>45</v>
      </c>
      <c r="B45" s="1">
        <v>6.2719998359680176</v>
      </c>
      <c r="C45" s="1">
        <v>1.4295258522033691</v>
      </c>
      <c r="D45" s="1">
        <v>1.26877760887146</v>
      </c>
      <c r="E45" s="1">
        <v>0.54791021347045898</v>
      </c>
      <c r="F45" s="1">
        <v>0.68522375822067261</v>
      </c>
      <c r="G45" s="1">
        <v>0.14245125651359558</v>
      </c>
      <c r="H45" s="2">
        <v>2025</v>
      </c>
      <c r="I45" t="s">
        <v>154</v>
      </c>
      <c r="J45">
        <f>SUBTOTAL(103,WHR_Data[[#This Row],[Country]])</f>
        <v>1</v>
      </c>
    </row>
    <row r="46" spans="1:10" x14ac:dyDescent="0.25">
      <c r="A46" t="s">
        <v>25</v>
      </c>
      <c r="B46" s="1">
        <v>6.2571001052856445</v>
      </c>
      <c r="C46" s="1">
        <v>1.7055419683456421</v>
      </c>
      <c r="D46" s="1">
        <v>1.5402960777282715</v>
      </c>
      <c r="E46" s="1">
        <v>0.63796424865722656</v>
      </c>
      <c r="F46" s="1">
        <v>0.56641948223114014</v>
      </c>
      <c r="G46" s="1">
        <v>5.7916749268770218E-2</v>
      </c>
      <c r="H46" s="2">
        <v>2025</v>
      </c>
      <c r="I46" t="s">
        <v>156</v>
      </c>
      <c r="J46">
        <f>SUBTOTAL(103,WHR_Data[[#This Row],[Country]])</f>
        <v>1</v>
      </c>
    </row>
    <row r="47" spans="1:10" x14ac:dyDescent="0.25">
      <c r="A47" t="s">
        <v>37</v>
      </c>
      <c r="B47" s="1">
        <v>6.2344999313354492</v>
      </c>
      <c r="C47" s="1">
        <v>1.7002942562103271</v>
      </c>
      <c r="D47" s="1">
        <v>1.5084776878356934</v>
      </c>
      <c r="E47" s="1">
        <v>0.56384015083312988</v>
      </c>
      <c r="F47" s="1">
        <v>0.6662898063659668</v>
      </c>
      <c r="G47" s="1">
        <v>7.8438013792037964E-2</v>
      </c>
      <c r="H47" s="2">
        <v>2025</v>
      </c>
      <c r="I47" t="s">
        <v>156</v>
      </c>
      <c r="J47">
        <f>SUBTOTAL(103,WHR_Data[[#This Row],[Country]])</f>
        <v>1</v>
      </c>
    </row>
    <row r="48" spans="1:10" x14ac:dyDescent="0.25">
      <c r="A48" t="s">
        <v>50</v>
      </c>
      <c r="B48" s="1">
        <v>6.195000171661377</v>
      </c>
      <c r="C48" s="1">
        <v>1.2116951942443848</v>
      </c>
      <c r="D48" s="1">
        <v>1.3944715261459351</v>
      </c>
      <c r="E48" s="1">
        <v>0.53892111778259277</v>
      </c>
      <c r="F48" s="1">
        <v>0.83495360612869263</v>
      </c>
      <c r="G48" s="1">
        <v>0.21466396749019623</v>
      </c>
      <c r="H48" s="2">
        <v>2025</v>
      </c>
      <c r="I48" t="s">
        <v>159</v>
      </c>
      <c r="J48">
        <f>SUBTOTAL(103,WHR_Data[[#This Row],[Country]])</f>
        <v>1</v>
      </c>
    </row>
    <row r="49" spans="1:10" x14ac:dyDescent="0.25">
      <c r="A49" t="s">
        <v>48</v>
      </c>
      <c r="B49" s="1">
        <v>6.1880998611450195</v>
      </c>
      <c r="C49" s="1">
        <v>1.5617474317550659</v>
      </c>
      <c r="D49" s="1">
        <v>1.3813045024871826</v>
      </c>
      <c r="E49" s="1">
        <v>0.58465063571929932</v>
      </c>
      <c r="F49" s="1">
        <v>0.6807437539100647</v>
      </c>
      <c r="G49" s="1">
        <v>8.045727014541626E-2</v>
      </c>
      <c r="H49" s="2">
        <v>2025</v>
      </c>
      <c r="I49" t="s">
        <v>154</v>
      </c>
      <c r="J49">
        <f>SUBTOTAL(103,WHR_Data[[#This Row],[Country]])</f>
        <v>1</v>
      </c>
    </row>
    <row r="50" spans="1:10" x14ac:dyDescent="0.25">
      <c r="A50" t="s">
        <v>40</v>
      </c>
      <c r="B50" s="1">
        <v>6.1875</v>
      </c>
      <c r="C50" s="1">
        <v>1.6224950551986694</v>
      </c>
      <c r="D50" s="1">
        <v>1.4566448926925659</v>
      </c>
      <c r="E50" s="1">
        <v>0.55558097362518311</v>
      </c>
      <c r="F50" s="1">
        <v>0.73258322477340698</v>
      </c>
      <c r="G50" s="1">
        <v>0.11975425481796265</v>
      </c>
      <c r="H50" s="2">
        <v>2025</v>
      </c>
      <c r="I50" t="s">
        <v>159</v>
      </c>
      <c r="J50">
        <f>SUBTOTAL(103,WHR_Data[[#This Row],[Country]])</f>
        <v>1</v>
      </c>
    </row>
    <row r="51" spans="1:10" x14ac:dyDescent="0.25">
      <c r="A51" t="s">
        <v>42</v>
      </c>
      <c r="B51" s="1">
        <v>6.0680999755859375</v>
      </c>
      <c r="C51" s="1">
        <v>1.7937989234924316</v>
      </c>
      <c r="D51" s="1">
        <v>1.2169917821884155</v>
      </c>
      <c r="E51" s="1">
        <v>0.74399131536483765</v>
      </c>
      <c r="F51" s="1">
        <v>0.5287899374961853</v>
      </c>
      <c r="G51" s="1">
        <v>4.9175325781106949E-2</v>
      </c>
      <c r="H51" s="2">
        <v>2025</v>
      </c>
      <c r="I51" t="s">
        <v>152</v>
      </c>
      <c r="J51">
        <f>SUBTOTAL(103,WHR_Data[[#This Row],[Country]])</f>
        <v>1</v>
      </c>
    </row>
    <row r="52" spans="1:10" x14ac:dyDescent="0.25">
      <c r="A52" t="s">
        <v>43</v>
      </c>
      <c r="B52" s="1">
        <v>6.0598001480102539</v>
      </c>
      <c r="C52" s="1">
        <v>1.7857211828231812</v>
      </c>
      <c r="D52" s="1">
        <v>1.3543787002563477</v>
      </c>
      <c r="E52" s="1">
        <v>0.78483772277832031</v>
      </c>
      <c r="F52" s="1">
        <v>0.63151836395263672</v>
      </c>
      <c r="G52" s="1">
        <v>0.21942955255508423</v>
      </c>
      <c r="H52" s="2">
        <v>2025</v>
      </c>
      <c r="I52" t="s">
        <v>158</v>
      </c>
      <c r="J52">
        <f>SUBTOTAL(103,WHR_Data[[#This Row],[Country]])</f>
        <v>1</v>
      </c>
    </row>
    <row r="53" spans="1:10" x14ac:dyDescent="0.25">
      <c r="A53" t="s">
        <v>53</v>
      </c>
      <c r="B53" s="1">
        <v>6.0578999519348145</v>
      </c>
      <c r="C53" s="1">
        <v>1.8149861097335815</v>
      </c>
      <c r="D53" s="1">
        <v>1.1780478954315186</v>
      </c>
      <c r="E53" s="1">
        <v>0.76963245868682861</v>
      </c>
      <c r="F53" s="1">
        <v>0.55467605590820313</v>
      </c>
      <c r="G53" s="1">
        <v>0.15793220698833466</v>
      </c>
      <c r="H53" s="2">
        <v>2025</v>
      </c>
      <c r="I53" t="s">
        <v>158</v>
      </c>
      <c r="J53">
        <f>SUBTOTAL(103,WHR_Data[[#This Row],[Country]])</f>
        <v>1</v>
      </c>
    </row>
    <row r="54" spans="1:10" x14ac:dyDescent="0.25">
      <c r="A54" t="s">
        <v>72</v>
      </c>
      <c r="B54" s="1">
        <v>6.0475997924804688</v>
      </c>
      <c r="C54" s="1">
        <v>1.2319400310516357</v>
      </c>
      <c r="D54" s="1">
        <v>1.1459598541259766</v>
      </c>
      <c r="E54" s="1">
        <v>0.44125506281852722</v>
      </c>
      <c r="F54" s="1">
        <v>0.82627832889556885</v>
      </c>
      <c r="G54" s="1">
        <v>0.13602666556835175</v>
      </c>
      <c r="H54" s="2">
        <v>2025</v>
      </c>
      <c r="I54" t="s">
        <v>157</v>
      </c>
      <c r="J54">
        <f>SUBTOTAL(103,WHR_Data[[#This Row],[Country]])</f>
        <v>1</v>
      </c>
    </row>
    <row r="55" spans="1:10" x14ac:dyDescent="0.25">
      <c r="A55" t="s">
        <v>61</v>
      </c>
      <c r="B55" s="1">
        <v>6.0430002212524414</v>
      </c>
      <c r="C55" s="1">
        <v>1.330500602722168</v>
      </c>
      <c r="D55" s="1">
        <v>1.2670079469680786</v>
      </c>
      <c r="E55" s="1">
        <v>0.53891986608505249</v>
      </c>
      <c r="F55" s="1">
        <v>0.8425632119178772</v>
      </c>
      <c r="G55" s="1">
        <v>0.15998345613479614</v>
      </c>
      <c r="H55" s="2">
        <v>2025</v>
      </c>
      <c r="I55" t="s">
        <v>157</v>
      </c>
      <c r="J55">
        <f>SUBTOTAL(103,WHR_Data[[#This Row],[Country]])</f>
        <v>1</v>
      </c>
    </row>
    <row r="56" spans="1:10" x14ac:dyDescent="0.25">
      <c r="A56" t="s">
        <v>52</v>
      </c>
      <c r="B56" s="1">
        <v>6.0296001434326172</v>
      </c>
      <c r="C56" s="1">
        <v>1.7275601625442505</v>
      </c>
      <c r="D56" s="1">
        <v>1.3677244186401367</v>
      </c>
      <c r="E56" s="1">
        <v>0.69895011186599731</v>
      </c>
      <c r="F56" s="1">
        <v>0.75667178630828857</v>
      </c>
      <c r="G56" s="1">
        <v>3.534143790602684E-2</v>
      </c>
      <c r="H56" s="2">
        <v>2025</v>
      </c>
      <c r="I56" t="s">
        <v>152</v>
      </c>
      <c r="J56">
        <f>SUBTOTAL(103,WHR_Data[[#This Row],[Country]])</f>
        <v>1</v>
      </c>
    </row>
    <row r="57" spans="1:10" x14ac:dyDescent="0.25">
      <c r="A57" t="s">
        <v>47</v>
      </c>
      <c r="B57" s="1">
        <v>6.0169000625610352</v>
      </c>
      <c r="C57" s="1">
        <v>1.7220711708068848</v>
      </c>
      <c r="D57" s="1">
        <v>1.5282142162322998</v>
      </c>
      <c r="E57" s="1">
        <v>0.59574204683303833</v>
      </c>
      <c r="F57" s="1">
        <v>0.58092683553695679</v>
      </c>
      <c r="G57" s="1">
        <v>6.7108042538166046E-2</v>
      </c>
      <c r="H57" s="2">
        <v>2025</v>
      </c>
      <c r="I57" t="s">
        <v>156</v>
      </c>
      <c r="J57">
        <f>SUBTOTAL(103,WHR_Data[[#This Row],[Country]])</f>
        <v>1</v>
      </c>
    </row>
    <row r="58" spans="1:10" x14ac:dyDescent="0.25">
      <c r="A58" t="s">
        <v>62</v>
      </c>
      <c r="B58" s="1">
        <v>5.9765000343322754</v>
      </c>
      <c r="C58" s="1">
        <v>1.3981411457061768</v>
      </c>
      <c r="D58" s="1">
        <v>1.4080097675323486</v>
      </c>
      <c r="E58" s="1">
        <v>0.5486299991607666</v>
      </c>
      <c r="F58" s="1">
        <v>0.78757679462432861</v>
      </c>
      <c r="G58" s="1">
        <v>6.5295100212097168E-2</v>
      </c>
      <c r="H58" s="2">
        <v>2025</v>
      </c>
      <c r="I58" t="s">
        <v>154</v>
      </c>
      <c r="J58">
        <f>SUBTOTAL(103,WHR_Data[[#This Row],[Country]])</f>
        <v>1</v>
      </c>
    </row>
    <row r="59" spans="1:10" x14ac:dyDescent="0.25">
      <c r="A59" t="s">
        <v>56</v>
      </c>
      <c r="B59" s="1">
        <v>5.976099967956543</v>
      </c>
      <c r="C59" s="1">
        <v>1.4842075109481812</v>
      </c>
      <c r="D59" s="1">
        <v>1.3467154502868652</v>
      </c>
      <c r="E59" s="1">
        <v>0.61997759342193604</v>
      </c>
      <c r="F59" s="1">
        <v>0.75567859411239624</v>
      </c>
      <c r="G59" s="1">
        <v>2.4175690487027168E-2</v>
      </c>
      <c r="H59" s="2">
        <v>2025</v>
      </c>
      <c r="I59" t="s">
        <v>157</v>
      </c>
      <c r="J59">
        <f>SUBTOTAL(103,WHR_Data[[#This Row],[Country]])</f>
        <v>1</v>
      </c>
    </row>
    <row r="60" spans="1:10" x14ac:dyDescent="0.25">
      <c r="A60" t="s">
        <v>51</v>
      </c>
      <c r="B60" s="1">
        <v>5.9752001762390137</v>
      </c>
      <c r="C60" s="1">
        <v>1.6458711624145508</v>
      </c>
      <c r="D60" s="1">
        <v>1.1434816122055054</v>
      </c>
      <c r="E60" s="1">
        <v>0.5396227240562439</v>
      </c>
      <c r="F60" s="1">
        <v>0.82854324579238892</v>
      </c>
      <c r="G60" s="1">
        <v>0.11904513835906982</v>
      </c>
      <c r="H60" s="2">
        <v>2025</v>
      </c>
      <c r="I60" t="s">
        <v>157</v>
      </c>
      <c r="J60">
        <f>SUBTOTAL(103,WHR_Data[[#This Row],[Country]])</f>
        <v>1</v>
      </c>
    </row>
    <row r="61" spans="1:10" x14ac:dyDescent="0.25">
      <c r="A61" t="s">
        <v>60</v>
      </c>
      <c r="B61" s="1">
        <v>5.9727001190185547</v>
      </c>
      <c r="C61" s="1">
        <v>1.4968482255935669</v>
      </c>
      <c r="D61" s="1">
        <v>1.238689661026001</v>
      </c>
      <c r="E61" s="1">
        <v>0.62890815734863281</v>
      </c>
      <c r="F61" s="1">
        <v>0.70440632104873657</v>
      </c>
      <c r="G61" s="1">
        <v>0.16350486874580383</v>
      </c>
      <c r="H61" s="2">
        <v>2025</v>
      </c>
      <c r="I61" t="s">
        <v>158</v>
      </c>
      <c r="J61">
        <f>SUBTOTAL(103,WHR_Data[[#This Row],[Country]])</f>
        <v>1</v>
      </c>
    </row>
    <row r="62" spans="1:10" x14ac:dyDescent="0.25">
      <c r="A62" t="s">
        <v>49</v>
      </c>
      <c r="B62" s="1">
        <v>5.9684000015258789</v>
      </c>
      <c r="C62" s="1">
        <v>1.0906941890716553</v>
      </c>
      <c r="D62" s="1">
        <v>1.0354576110839844</v>
      </c>
      <c r="E62" s="1">
        <v>0.50224244594573975</v>
      </c>
      <c r="F62" s="1">
        <v>0.71987932920455933</v>
      </c>
      <c r="G62" s="1">
        <v>8.0780990421772003E-2</v>
      </c>
      <c r="H62" s="2">
        <v>2025</v>
      </c>
      <c r="I62" t="s">
        <v>154</v>
      </c>
      <c r="J62">
        <f>SUBTOTAL(103,WHR_Data[[#This Row],[Country]])</f>
        <v>1</v>
      </c>
    </row>
    <row r="63" spans="1:10" x14ac:dyDescent="0.25">
      <c r="A63" t="s">
        <v>38</v>
      </c>
      <c r="B63" s="1">
        <v>5.9590997695922852</v>
      </c>
      <c r="H63" s="2">
        <v>2025</v>
      </c>
      <c r="I63" t="s">
        <v>155</v>
      </c>
      <c r="J63">
        <f>SUBTOTAL(103,WHR_Data[[#This Row],[Country]])</f>
        <v>1</v>
      </c>
    </row>
    <row r="64" spans="1:10" x14ac:dyDescent="0.25">
      <c r="A64" t="s">
        <v>44</v>
      </c>
      <c r="B64" s="1">
        <v>5.9422998428344727</v>
      </c>
      <c r="C64" s="1">
        <v>1.7100956439971924</v>
      </c>
      <c r="D64" s="1">
        <v>1.4447548389434814</v>
      </c>
      <c r="E64" s="1">
        <v>0.6366000771522522</v>
      </c>
      <c r="F64" s="1">
        <v>0.46918749809265137</v>
      </c>
      <c r="G64" s="1">
        <v>4.2858440428972244E-2</v>
      </c>
      <c r="H64" s="2">
        <v>2025</v>
      </c>
      <c r="I64" t="s">
        <v>156</v>
      </c>
      <c r="J64">
        <f>SUBTOTAL(103,WHR_Data[[#This Row],[Country]])</f>
        <v>1</v>
      </c>
    </row>
    <row r="65" spans="1:10" x14ac:dyDescent="0.25">
      <c r="A65" t="s">
        <v>54</v>
      </c>
      <c r="B65" s="1">
        <v>5.9335999488830566</v>
      </c>
      <c r="C65" s="1">
        <v>1.6839154958724976</v>
      </c>
      <c r="D65" s="1">
        <v>1.2760926485061646</v>
      </c>
      <c r="E65" s="1">
        <v>0.69617533683776855</v>
      </c>
      <c r="F65" s="1">
        <v>0.33715590834617615</v>
      </c>
      <c r="G65" s="1">
        <v>9.2573896050453186E-2</v>
      </c>
      <c r="H65" s="2">
        <v>2025</v>
      </c>
      <c r="I65" t="s">
        <v>152</v>
      </c>
      <c r="J65">
        <f>SUBTOTAL(103,WHR_Data[[#This Row],[Country]])</f>
        <v>1</v>
      </c>
    </row>
    <row r="66" spans="1:10" x14ac:dyDescent="0.25">
      <c r="A66" t="s">
        <v>67</v>
      </c>
      <c r="B66" s="1">
        <v>5.8769998550415039</v>
      </c>
      <c r="C66" s="1">
        <v>1.4647413492202759</v>
      </c>
      <c r="D66" s="1">
        <v>1.3181260824203491</v>
      </c>
      <c r="E66" s="1">
        <v>0.58742433786392212</v>
      </c>
      <c r="F66" s="1">
        <v>0.62063795328140259</v>
      </c>
      <c r="G66" s="1">
        <v>0</v>
      </c>
      <c r="H66" s="2">
        <v>2025</v>
      </c>
      <c r="I66" t="s">
        <v>156</v>
      </c>
      <c r="J66">
        <f>SUBTOTAL(103,WHR_Data[[#This Row],[Country]])</f>
        <v>1</v>
      </c>
    </row>
    <row r="67" spans="1:10" x14ac:dyDescent="0.25">
      <c r="A67" t="s">
        <v>135</v>
      </c>
      <c r="B67" s="1">
        <v>5.866300106048584</v>
      </c>
      <c r="C67" s="1">
        <v>1.5256569385528564</v>
      </c>
      <c r="D67" s="1">
        <v>1.0999952554702759</v>
      </c>
      <c r="E67" s="1">
        <v>0.54969483613967896</v>
      </c>
      <c r="F67" s="1">
        <v>0.5917096734046936</v>
      </c>
      <c r="G67" s="1">
        <v>0.20356906950473785</v>
      </c>
      <c r="H67" s="2">
        <v>2025</v>
      </c>
      <c r="I67" t="s">
        <v>155</v>
      </c>
      <c r="J67">
        <f>SUBTOTAL(103,WHR_Data[[#This Row],[Country]])</f>
        <v>1</v>
      </c>
    </row>
    <row r="68" spans="1:10" x14ac:dyDescent="0.25">
      <c r="A68" t="s">
        <v>64</v>
      </c>
      <c r="B68" s="1">
        <v>5.8417000770568848</v>
      </c>
      <c r="C68" s="1">
        <v>1.2801949977874756</v>
      </c>
      <c r="D68" s="1">
        <v>1.3238065242767334</v>
      </c>
      <c r="E68" s="1">
        <v>0.56663691997528076</v>
      </c>
      <c r="F68" s="1">
        <v>0.64691823720932007</v>
      </c>
      <c r="G68" s="1">
        <v>2.8065191581845284E-2</v>
      </c>
      <c r="H68" s="2">
        <v>2025</v>
      </c>
      <c r="I68" t="s">
        <v>154</v>
      </c>
      <c r="J68">
        <f>SUBTOTAL(103,WHR_Data[[#This Row],[Country]])</f>
        <v>1</v>
      </c>
    </row>
    <row r="69" spans="1:10" x14ac:dyDescent="0.25">
      <c r="A69" t="s">
        <v>71</v>
      </c>
      <c r="B69" s="1">
        <v>5.8408999443054199</v>
      </c>
      <c r="C69" s="1">
        <v>1.3706018924713135</v>
      </c>
      <c r="D69" s="1">
        <v>1.1799687147140503</v>
      </c>
      <c r="E69" s="1">
        <v>0.66154378652572632</v>
      </c>
      <c r="F69" s="1">
        <v>0.61484372615814209</v>
      </c>
      <c r="G69" s="1">
        <v>2.8730554506182671E-2</v>
      </c>
      <c r="H69" s="2">
        <v>2025</v>
      </c>
      <c r="I69" t="s">
        <v>154</v>
      </c>
      <c r="J69">
        <f>SUBTOTAL(103,WHR_Data[[#This Row],[Country]])</f>
        <v>1</v>
      </c>
    </row>
    <row r="70" spans="1:10" x14ac:dyDescent="0.25">
      <c r="A70" t="s">
        <v>69</v>
      </c>
      <c r="B70" s="1">
        <v>5.8228001594543457</v>
      </c>
      <c r="C70" s="1">
        <v>1.5166972875595093</v>
      </c>
      <c r="D70" s="1">
        <v>1.2715129852294922</v>
      </c>
      <c r="E70" s="1">
        <v>0.51123809814453125</v>
      </c>
      <c r="F70" s="1">
        <v>0.72989439964294434</v>
      </c>
      <c r="G70" s="1">
        <v>0.19556351006031036</v>
      </c>
      <c r="H70" s="2">
        <v>2025</v>
      </c>
      <c r="I70" t="s">
        <v>154</v>
      </c>
      <c r="J70">
        <f>SUBTOTAL(103,WHR_Data[[#This Row],[Country]])</f>
        <v>1</v>
      </c>
    </row>
    <row r="71" spans="1:10" x14ac:dyDescent="0.25">
      <c r="A71" t="s">
        <v>55</v>
      </c>
      <c r="B71" s="1">
        <v>5.8164000511169434</v>
      </c>
      <c r="C71" s="1">
        <v>1.5704201459884644</v>
      </c>
      <c r="D71" s="1">
        <v>1.3577836751937866</v>
      </c>
      <c r="E71" s="1">
        <v>0.48974645137786865</v>
      </c>
      <c r="F71" s="1">
        <v>0.64079582691192627</v>
      </c>
      <c r="G71" s="1">
        <v>0.11776747554540634</v>
      </c>
      <c r="H71" s="2">
        <v>2025</v>
      </c>
      <c r="I71" t="s">
        <v>160</v>
      </c>
      <c r="J71">
        <f>SUBTOTAL(103,WHR_Data[[#This Row],[Country]])</f>
        <v>1</v>
      </c>
    </row>
    <row r="72" spans="1:10" x14ac:dyDescent="0.25">
      <c r="A72" t="s">
        <v>59</v>
      </c>
      <c r="B72" s="1">
        <v>5.8158998489379883</v>
      </c>
      <c r="C72" s="1">
        <v>1.3853644132614136</v>
      </c>
      <c r="D72" s="1">
        <v>1.277184009552002</v>
      </c>
      <c r="E72" s="1">
        <v>0.54165703058242798</v>
      </c>
      <c r="F72" s="1">
        <v>0.69485604763031006</v>
      </c>
      <c r="G72" s="1">
        <v>4.4482506811618805E-2</v>
      </c>
      <c r="H72" s="2">
        <v>2025</v>
      </c>
      <c r="I72" t="s">
        <v>156</v>
      </c>
      <c r="J72">
        <f>SUBTOTAL(103,WHR_Data[[#This Row],[Country]])</f>
        <v>1</v>
      </c>
    </row>
    <row r="73" spans="1:10" x14ac:dyDescent="0.25">
      <c r="A73" t="s">
        <v>66</v>
      </c>
      <c r="B73" s="1">
        <v>5.7852997779846191</v>
      </c>
      <c r="C73" s="1">
        <v>1.6421922445297241</v>
      </c>
      <c r="D73" s="1">
        <v>1.3511909246444702</v>
      </c>
      <c r="E73" s="1">
        <v>0.53135198354721069</v>
      </c>
      <c r="F73" s="1">
        <v>0.55145341157913208</v>
      </c>
      <c r="G73" s="1">
        <v>0.12052719295024872</v>
      </c>
      <c r="H73" s="2">
        <v>2025</v>
      </c>
      <c r="I73" t="s">
        <v>159</v>
      </c>
      <c r="J73">
        <f>SUBTOTAL(103,WHR_Data[[#This Row],[Country]])</f>
        <v>1</v>
      </c>
    </row>
    <row r="74" spans="1:10" x14ac:dyDescent="0.25">
      <c r="A74" t="s">
        <v>65</v>
      </c>
      <c r="B74" s="1">
        <v>5.7842998504638672</v>
      </c>
      <c r="C74" s="1">
        <v>1.2170525789260864</v>
      </c>
      <c r="D74" s="1">
        <v>1.1794114112854004</v>
      </c>
      <c r="E74" s="1">
        <v>0.48760786652565002</v>
      </c>
      <c r="F74" s="1">
        <v>0.71946114301681519</v>
      </c>
      <c r="G74" s="1">
        <v>6.0818608850240707E-2</v>
      </c>
      <c r="H74" s="2">
        <v>2025</v>
      </c>
      <c r="I74" t="s">
        <v>154</v>
      </c>
      <c r="J74">
        <f>SUBTOTAL(103,WHR_Data[[#This Row],[Country]])</f>
        <v>1</v>
      </c>
    </row>
    <row r="75" spans="1:10" x14ac:dyDescent="0.25">
      <c r="A75" t="s">
        <v>70</v>
      </c>
      <c r="B75" s="1">
        <v>5.7245001792907715</v>
      </c>
      <c r="C75" s="1">
        <v>1.3154677152633667</v>
      </c>
      <c r="D75" s="1">
        <v>1.1506501436233521</v>
      </c>
      <c r="E75" s="1">
        <v>0.6400609016418457</v>
      </c>
      <c r="F75" s="1">
        <v>0.60608112812042236</v>
      </c>
      <c r="G75" s="1">
        <v>7.8329697251319885E-2</v>
      </c>
      <c r="H75" s="2">
        <v>2025</v>
      </c>
      <c r="I75" t="s">
        <v>154</v>
      </c>
      <c r="J75">
        <f>SUBTOTAL(103,WHR_Data[[#This Row],[Country]])</f>
        <v>1</v>
      </c>
    </row>
    <row r="76" spans="1:10" x14ac:dyDescent="0.25">
      <c r="A76" t="s">
        <v>58</v>
      </c>
      <c r="B76" s="1">
        <v>5.7135000228881836</v>
      </c>
      <c r="C76" s="1">
        <v>1.0542736053466797</v>
      </c>
      <c r="D76" s="1">
        <v>1.4769147634506226</v>
      </c>
      <c r="E76" s="1">
        <v>0.58809810876846313</v>
      </c>
      <c r="F76" s="1">
        <v>0.83427447080612183</v>
      </c>
      <c r="G76" s="1">
        <v>2.9853262007236481E-2</v>
      </c>
      <c r="H76" s="2">
        <v>2025</v>
      </c>
      <c r="I76" t="s">
        <v>159</v>
      </c>
      <c r="J76">
        <f>SUBTOTAL(103,WHR_Data[[#This Row],[Country]])</f>
        <v>1</v>
      </c>
    </row>
    <row r="77" spans="1:10" x14ac:dyDescent="0.25">
      <c r="A77" t="s">
        <v>63</v>
      </c>
      <c r="B77" s="1">
        <v>5.7069997787475586</v>
      </c>
      <c r="C77" s="1">
        <v>1.5705214738845825</v>
      </c>
      <c r="D77" s="1">
        <v>1.3179855346679688</v>
      </c>
      <c r="E77" s="1">
        <v>0.58742481470108032</v>
      </c>
      <c r="F77" s="1">
        <v>0.63172835111618042</v>
      </c>
      <c r="G77" s="1">
        <v>0.13215145468711853</v>
      </c>
      <c r="H77" s="2">
        <v>2025</v>
      </c>
      <c r="I77" t="s">
        <v>156</v>
      </c>
      <c r="J77">
        <f>SUBTOTAL(103,WHR_Data[[#This Row],[Country]])</f>
        <v>1</v>
      </c>
    </row>
    <row r="78" spans="1:10" x14ac:dyDescent="0.25">
      <c r="A78" t="s">
        <v>57</v>
      </c>
      <c r="B78" s="1">
        <v>5.696199893951416</v>
      </c>
      <c r="C78" s="1">
        <v>1.3527040481567383</v>
      </c>
      <c r="D78" s="1">
        <v>1.5106477737426758</v>
      </c>
      <c r="E78" s="1">
        <v>0.40038603544235229</v>
      </c>
      <c r="F78" s="1">
        <v>0.50080066919326782</v>
      </c>
      <c r="G78" s="1">
        <v>5.5269941687583923E-2</v>
      </c>
      <c r="H78" s="2">
        <v>2025</v>
      </c>
      <c r="I78" t="s">
        <v>158</v>
      </c>
      <c r="J78">
        <f>SUBTOTAL(103,WHR_Data[[#This Row],[Country]])</f>
        <v>1</v>
      </c>
    </row>
    <row r="79" spans="1:10" x14ac:dyDescent="0.25">
      <c r="A79" t="s">
        <v>68</v>
      </c>
      <c r="B79" s="1">
        <v>5.6950998306274414</v>
      </c>
      <c r="C79" s="1">
        <v>1.4369055032730103</v>
      </c>
      <c r="D79" s="1">
        <v>1.2406914234161377</v>
      </c>
      <c r="E79" s="1">
        <v>0.64767903089523315</v>
      </c>
      <c r="F79" s="1">
        <v>0.64391934871673584</v>
      </c>
      <c r="G79" s="1">
        <v>5.8607902377843857E-2</v>
      </c>
      <c r="H79" s="2">
        <v>2025</v>
      </c>
      <c r="I79" t="s">
        <v>154</v>
      </c>
      <c r="J79">
        <f>SUBTOTAL(103,WHR_Data[[#This Row],[Country]])</f>
        <v>1</v>
      </c>
    </row>
    <row r="80" spans="1:10" x14ac:dyDescent="0.25">
      <c r="A80" t="s">
        <v>82</v>
      </c>
      <c r="B80" s="1">
        <v>5.6066999435424805</v>
      </c>
      <c r="C80" s="1">
        <v>0</v>
      </c>
      <c r="D80" s="1">
        <v>1.3213502168655396</v>
      </c>
      <c r="E80" s="1">
        <v>0.49113830924034119</v>
      </c>
      <c r="F80" s="1">
        <v>0.51791286468505859</v>
      </c>
      <c r="G80" s="1">
        <v>8.6161896586418152E-2</v>
      </c>
      <c r="H80" s="2">
        <v>2025</v>
      </c>
      <c r="I80" t="s">
        <v>154</v>
      </c>
      <c r="J80">
        <f>SUBTOTAL(103,WHR_Data[[#This Row],[Country]])</f>
        <v>1</v>
      </c>
    </row>
    <row r="81" spans="1:10" x14ac:dyDescent="0.25">
      <c r="A81" t="s">
        <v>79</v>
      </c>
      <c r="B81" s="1">
        <v>5.5682997703552246</v>
      </c>
      <c r="C81" s="1">
        <v>1.3614945411682129</v>
      </c>
      <c r="D81" s="1">
        <v>1.1842628717422485</v>
      </c>
      <c r="E81" s="1">
        <v>0.47167095541954041</v>
      </c>
      <c r="F81" s="1">
        <v>0.7794453501701355</v>
      </c>
      <c r="G81" s="1">
        <v>5.4712675511837006E-2</v>
      </c>
      <c r="H81" s="2">
        <v>2025</v>
      </c>
      <c r="I81" t="s">
        <v>157</v>
      </c>
      <c r="J81">
        <f>SUBTOTAL(103,WHR_Data[[#This Row],[Country]])</f>
        <v>1</v>
      </c>
    </row>
    <row r="82" spans="1:10" x14ac:dyDescent="0.25">
      <c r="A82" t="s">
        <v>73</v>
      </c>
      <c r="B82" s="1">
        <v>5.4626998901367188</v>
      </c>
      <c r="C82" s="1">
        <v>1.6293822526931763</v>
      </c>
      <c r="D82" s="1">
        <v>1.4687789678573608</v>
      </c>
      <c r="E82" s="1">
        <v>0.56662088632583618</v>
      </c>
      <c r="F82" s="1">
        <v>0.62039607763290405</v>
      </c>
      <c r="G82" s="1">
        <v>6.1505655758082867E-3</v>
      </c>
      <c r="H82" s="2">
        <v>2025</v>
      </c>
      <c r="I82" t="s">
        <v>156</v>
      </c>
      <c r="J82">
        <f>SUBTOTAL(103,WHR_Data[[#This Row],[Country]])</f>
        <v>1</v>
      </c>
    </row>
    <row r="83" spans="1:10" x14ac:dyDescent="0.25">
      <c r="A83" t="s">
        <v>75</v>
      </c>
      <c r="B83" s="1">
        <v>5.454899787902832</v>
      </c>
      <c r="C83" s="1">
        <v>1.4435883760452271</v>
      </c>
      <c r="D83" s="1">
        <v>1.1544399261474609</v>
      </c>
      <c r="E83" s="1">
        <v>0.60340416431427002</v>
      </c>
      <c r="F83" s="1">
        <v>0.65023398399353027</v>
      </c>
      <c r="G83" s="1">
        <v>0.17305009067058563</v>
      </c>
      <c r="H83" s="2">
        <v>2025</v>
      </c>
      <c r="I83" t="s">
        <v>159</v>
      </c>
      <c r="J83">
        <f>SUBTOTAL(103,WHR_Data[[#This Row],[Country]])</f>
        <v>1</v>
      </c>
    </row>
    <row r="84" spans="1:10" x14ac:dyDescent="0.25">
      <c r="A84" t="s">
        <v>80</v>
      </c>
      <c r="B84" s="1">
        <v>5.4219999313354492</v>
      </c>
      <c r="C84" s="1">
        <v>1.3891060352325439</v>
      </c>
      <c r="D84" s="1">
        <v>1.3692620992660522</v>
      </c>
      <c r="E84" s="1">
        <v>0.32189443707466125</v>
      </c>
      <c r="F84" s="1">
        <v>0.53659015893936157</v>
      </c>
      <c r="G84" s="1">
        <v>3.3980637788772583E-2</v>
      </c>
      <c r="H84" s="2">
        <v>2025</v>
      </c>
      <c r="I84" t="s">
        <v>160</v>
      </c>
      <c r="J84">
        <f>SUBTOTAL(103,WHR_Data[[#This Row],[Country]])</f>
        <v>1</v>
      </c>
    </row>
    <row r="85" spans="1:10" x14ac:dyDescent="0.25">
      <c r="A85" t="s">
        <v>81</v>
      </c>
      <c r="B85" s="1">
        <v>5.3691000938415527</v>
      </c>
      <c r="C85" s="1">
        <v>1.4753087759017944</v>
      </c>
      <c r="D85" s="1">
        <v>1.2765878438949585</v>
      </c>
      <c r="E85" s="1">
        <v>0.56937772035598755</v>
      </c>
      <c r="F85" s="1">
        <v>0.57972711324691772</v>
      </c>
      <c r="G85" s="1">
        <v>1.4632130973041058E-2</v>
      </c>
      <c r="H85" s="2">
        <v>2025</v>
      </c>
      <c r="I85" t="s">
        <v>156</v>
      </c>
      <c r="J85">
        <f>SUBTOTAL(103,WHR_Data[[#This Row],[Country]])</f>
        <v>1</v>
      </c>
    </row>
    <row r="86" spans="1:10" x14ac:dyDescent="0.25">
      <c r="A86" t="s">
        <v>77</v>
      </c>
      <c r="B86" s="1">
        <v>5.3635001182556152</v>
      </c>
      <c r="C86" s="1">
        <v>1.3235404491424561</v>
      </c>
      <c r="D86" s="1">
        <v>1.1906074285507202</v>
      </c>
      <c r="E86" s="1">
        <v>0.56790047883987427</v>
      </c>
      <c r="F86" s="1">
        <v>0.24701155722141266</v>
      </c>
      <c r="G86" s="1">
        <v>0.19999629259109497</v>
      </c>
      <c r="H86" s="2">
        <v>2025</v>
      </c>
      <c r="I86" t="s">
        <v>155</v>
      </c>
      <c r="J86">
        <f>SUBTOTAL(103,WHR_Data[[#This Row],[Country]])</f>
        <v>1</v>
      </c>
    </row>
    <row r="87" spans="1:10" x14ac:dyDescent="0.25">
      <c r="A87" t="s">
        <v>145</v>
      </c>
      <c r="B87" s="1">
        <v>5.3164000511169434</v>
      </c>
      <c r="C87" s="1">
        <v>1.9087110757827759</v>
      </c>
      <c r="D87" s="1">
        <v>1.1844797134399414</v>
      </c>
      <c r="E87" s="1">
        <v>0.85731542110443115</v>
      </c>
      <c r="F87" s="1">
        <v>0.48470968008041382</v>
      </c>
      <c r="G87" s="1">
        <v>0.40161421895027161</v>
      </c>
      <c r="H87" s="2">
        <v>2025</v>
      </c>
      <c r="I87" t="s">
        <v>158</v>
      </c>
      <c r="J87">
        <f>SUBTOTAL(103,WHR_Data[[#This Row],[Country]])</f>
        <v>1</v>
      </c>
    </row>
    <row r="88" spans="1:10" x14ac:dyDescent="0.25">
      <c r="A88" t="s">
        <v>78</v>
      </c>
      <c r="B88" s="1">
        <v>5.3042001724243164</v>
      </c>
      <c r="C88" s="1">
        <v>1.4378888607025146</v>
      </c>
      <c r="D88" s="1">
        <v>0.9235725998878479</v>
      </c>
      <c r="E88" s="1">
        <v>0.63798749446868896</v>
      </c>
      <c r="F88" s="1">
        <v>0.68972975015640259</v>
      </c>
      <c r="G88" s="1">
        <v>4.8980724066495895E-2</v>
      </c>
      <c r="H88" s="2">
        <v>2025</v>
      </c>
      <c r="I88" t="s">
        <v>156</v>
      </c>
      <c r="J88">
        <f>SUBTOTAL(103,WHR_Data[[#This Row],[Country]])</f>
        <v>1</v>
      </c>
    </row>
    <row r="89" spans="1:10" x14ac:dyDescent="0.25">
      <c r="A89" t="s">
        <v>76</v>
      </c>
      <c r="B89" s="1">
        <v>5.2807002067565918</v>
      </c>
      <c r="H89" s="2">
        <v>2025</v>
      </c>
      <c r="I89" t="s">
        <v>159</v>
      </c>
      <c r="J89">
        <f>SUBTOTAL(103,WHR_Data[[#This Row],[Country]])</f>
        <v>1</v>
      </c>
    </row>
    <row r="90" spans="1:10" x14ac:dyDescent="0.25">
      <c r="A90" t="s">
        <v>131</v>
      </c>
      <c r="B90" s="1">
        <v>5.2214999198913574</v>
      </c>
      <c r="C90" s="1">
        <v>0.8923410177230835</v>
      </c>
      <c r="D90" s="1">
        <v>0.6218869686126709</v>
      </c>
      <c r="E90" s="1">
        <v>0.30558526515960693</v>
      </c>
      <c r="F90" s="1">
        <v>0.52273505926132202</v>
      </c>
      <c r="G90" s="1">
        <v>0.13767823576927185</v>
      </c>
      <c r="H90" s="2">
        <v>2025</v>
      </c>
      <c r="I90" t="s">
        <v>160</v>
      </c>
      <c r="J90">
        <f>SUBTOTAL(103,WHR_Data[[#This Row],[Country]])</f>
        <v>1</v>
      </c>
    </row>
    <row r="91" spans="1:10" x14ac:dyDescent="0.25">
      <c r="A91" t="s">
        <v>91</v>
      </c>
      <c r="B91" s="1">
        <v>5.216400146484375</v>
      </c>
      <c r="C91" s="1">
        <v>0.55976742506027222</v>
      </c>
      <c r="D91" s="1">
        <v>0.88307136297225952</v>
      </c>
      <c r="E91" s="1">
        <v>0.15556660294532776</v>
      </c>
      <c r="F91" s="1">
        <v>0.72811126708984375</v>
      </c>
      <c r="G91" s="1">
        <v>0.19617113471031189</v>
      </c>
      <c r="H91" s="2">
        <v>2025</v>
      </c>
      <c r="I91" t="s">
        <v>160</v>
      </c>
      <c r="J91">
        <f>SUBTOTAL(103,WHR_Data[[#This Row],[Country]])</f>
        <v>1</v>
      </c>
    </row>
    <row r="92" spans="1:10" x14ac:dyDescent="0.25">
      <c r="A92" t="s">
        <v>84</v>
      </c>
      <c r="B92" s="1">
        <v>5.1847000122070313</v>
      </c>
      <c r="C92" s="1">
        <v>1.4669232368469238</v>
      </c>
      <c r="D92" s="1">
        <v>0.99001115560531616</v>
      </c>
      <c r="E92" s="1">
        <v>0.5243762731552124</v>
      </c>
      <c r="F92" s="1">
        <v>0.67981415987014771</v>
      </c>
      <c r="G92" s="1">
        <v>0.17428675293922424</v>
      </c>
      <c r="H92" s="2">
        <v>2025</v>
      </c>
      <c r="I92" t="s">
        <v>159</v>
      </c>
      <c r="J92">
        <f>SUBTOTAL(103,WHR_Data[[#This Row],[Country]])</f>
        <v>1</v>
      </c>
    </row>
    <row r="93" spans="1:10" x14ac:dyDescent="0.25">
      <c r="A93" t="s">
        <v>92</v>
      </c>
      <c r="B93" s="1">
        <v>5.1659998893737793</v>
      </c>
      <c r="C93" s="1">
        <v>1.2487026453018188</v>
      </c>
      <c r="D93" s="1">
        <v>0.99594837427139282</v>
      </c>
      <c r="E93" s="1">
        <v>0.49819964170455933</v>
      </c>
      <c r="F93" s="1">
        <v>0.42452463507652283</v>
      </c>
      <c r="G93" s="1">
        <v>4.7819856554269791E-2</v>
      </c>
      <c r="H93" s="2">
        <v>2025</v>
      </c>
      <c r="I93" t="s">
        <v>155</v>
      </c>
      <c r="J93">
        <f>SUBTOTAL(103,WHR_Data[[#This Row],[Country]])</f>
        <v>1</v>
      </c>
    </row>
    <row r="94" spans="1:10" x14ac:dyDescent="0.25">
      <c r="A94" t="s">
        <v>74</v>
      </c>
      <c r="B94" s="1">
        <v>5.1584000587463379</v>
      </c>
      <c r="C94" s="1">
        <v>0.96536391973495483</v>
      </c>
      <c r="D94" s="1">
        <v>0.99018365144729614</v>
      </c>
      <c r="E94" s="1">
        <v>0.44261762499809265</v>
      </c>
      <c r="F94" s="1">
        <v>0.65291428565979004</v>
      </c>
      <c r="G94" s="1">
        <v>0.1149136945605278</v>
      </c>
      <c r="H94" s="2">
        <v>2025</v>
      </c>
      <c r="I94" t="s">
        <v>161</v>
      </c>
      <c r="J94">
        <f>SUBTOTAL(103,WHR_Data[[#This Row],[Country]])</f>
        <v>1</v>
      </c>
    </row>
    <row r="95" spans="1:10" x14ac:dyDescent="0.25">
      <c r="A95" t="s">
        <v>83</v>
      </c>
      <c r="B95" s="1">
        <v>5.1388998031616211</v>
      </c>
      <c r="C95" s="1">
        <v>1.2084683179855347</v>
      </c>
      <c r="D95" s="1">
        <v>0.84629791975021362</v>
      </c>
      <c r="E95" s="1">
        <v>0.42291265726089478</v>
      </c>
      <c r="F95" s="1">
        <v>0.79646611213684082</v>
      </c>
      <c r="G95" s="1">
        <v>0.16654132306575775</v>
      </c>
      <c r="H95" s="2">
        <v>2025</v>
      </c>
      <c r="I95" t="s">
        <v>157</v>
      </c>
      <c r="J95">
        <f>SUBTOTAL(103,WHR_Data[[#This Row],[Country]])</f>
        <v>1</v>
      </c>
    </row>
    <row r="96" spans="1:10" x14ac:dyDescent="0.25">
      <c r="A96" t="s">
        <v>88</v>
      </c>
      <c r="B96" s="1">
        <v>5.106299877166748</v>
      </c>
      <c r="C96" s="1">
        <v>1.4034374952316284</v>
      </c>
      <c r="D96" s="1">
        <v>1.0376240015029907</v>
      </c>
      <c r="E96" s="1">
        <v>0.34429106116294861</v>
      </c>
      <c r="F96" s="1">
        <v>0.51581484079360962</v>
      </c>
      <c r="G96" s="1">
        <v>9.9869810044765472E-2</v>
      </c>
      <c r="H96" s="2">
        <v>2025</v>
      </c>
      <c r="I96" t="s">
        <v>160</v>
      </c>
      <c r="J96">
        <f>SUBTOTAL(103,WHR_Data[[#This Row],[Country]])</f>
        <v>1</v>
      </c>
    </row>
    <row r="97" spans="1:10" x14ac:dyDescent="0.25">
      <c r="A97" t="s">
        <v>87</v>
      </c>
      <c r="B97" s="1">
        <v>5.0801000595092773</v>
      </c>
      <c r="C97" s="1">
        <v>1.0801311731338501</v>
      </c>
      <c r="D97" s="1">
        <v>0.57763051986694336</v>
      </c>
      <c r="E97" s="1">
        <v>0.2875821590423584</v>
      </c>
      <c r="F97" s="1">
        <v>0.54695111513137817</v>
      </c>
      <c r="G97" s="1">
        <v>0.16406969726085663</v>
      </c>
      <c r="H97" s="2">
        <v>2025</v>
      </c>
      <c r="I97" t="s">
        <v>160</v>
      </c>
      <c r="J97">
        <f>SUBTOTAL(103,WHR_Data[[#This Row],[Country]])</f>
        <v>1</v>
      </c>
    </row>
    <row r="98" spans="1:10" x14ac:dyDescent="0.25">
      <c r="A98" t="s">
        <v>85</v>
      </c>
      <c r="B98" s="1">
        <v>5.0233001708984375</v>
      </c>
      <c r="C98" s="1">
        <v>0.83056735992431641</v>
      </c>
      <c r="D98" s="1">
        <v>0.62161260843276978</v>
      </c>
      <c r="E98" s="1">
        <v>0.2355300635099411</v>
      </c>
      <c r="F98" s="1">
        <v>0.52128487825393677</v>
      </c>
      <c r="G98" s="1">
        <v>0.1074468269944191</v>
      </c>
      <c r="H98" s="2">
        <v>2025</v>
      </c>
      <c r="I98" t="s">
        <v>160</v>
      </c>
      <c r="J98">
        <f>SUBTOTAL(103,WHR_Data[[#This Row],[Country]])</f>
        <v>1</v>
      </c>
    </row>
    <row r="99" spans="1:10" x14ac:dyDescent="0.25">
      <c r="A99" t="s">
        <v>132</v>
      </c>
      <c r="B99" s="1">
        <v>4.9752998352050781</v>
      </c>
      <c r="C99" s="1">
        <v>1.7015780210494995</v>
      </c>
      <c r="D99" s="1">
        <v>1.1750115156173706</v>
      </c>
      <c r="E99" s="1">
        <v>0.63106775283813477</v>
      </c>
      <c r="F99" s="1">
        <v>0.20207588374614716</v>
      </c>
      <c r="G99" s="1">
        <v>0.11476534605026245</v>
      </c>
      <c r="H99" s="2">
        <v>2025</v>
      </c>
      <c r="I99" t="s">
        <v>155</v>
      </c>
      <c r="J99">
        <f>SUBTOTAL(103,WHR_Data[[#This Row],[Country]])</f>
        <v>1</v>
      </c>
    </row>
    <row r="100" spans="1:10" x14ac:dyDescent="0.25">
      <c r="A100" t="s">
        <v>95</v>
      </c>
      <c r="B100" s="1">
        <v>4.968599796295166</v>
      </c>
      <c r="C100" s="1">
        <v>0.92735916376113892</v>
      </c>
      <c r="D100" s="1">
        <v>0.75067895650863647</v>
      </c>
      <c r="E100" s="1">
        <v>0.39214456081390381</v>
      </c>
      <c r="F100" s="1">
        <v>0.60675263404846191</v>
      </c>
      <c r="G100" s="1">
        <v>6.8683110177516937E-2</v>
      </c>
      <c r="H100" s="2">
        <v>2025</v>
      </c>
      <c r="I100" t="s">
        <v>160</v>
      </c>
      <c r="J100">
        <f>SUBTOTAL(103,WHR_Data[[#This Row],[Country]])</f>
        <v>1</v>
      </c>
    </row>
    <row r="101" spans="1:10" x14ac:dyDescent="0.25">
      <c r="A101" t="s">
        <v>94</v>
      </c>
      <c r="B101" s="1">
        <v>4.9228000640869141</v>
      </c>
      <c r="C101" s="1">
        <v>1.4351887702941895</v>
      </c>
      <c r="D101" s="1">
        <v>1.1361976861953735</v>
      </c>
      <c r="E101" s="1">
        <v>0.57078373432159424</v>
      </c>
      <c r="F101" s="1">
        <v>0.36550146341323853</v>
      </c>
      <c r="G101" s="1">
        <v>0.12344294786453247</v>
      </c>
      <c r="H101" s="2">
        <v>2025</v>
      </c>
      <c r="I101" t="s">
        <v>155</v>
      </c>
      <c r="J101">
        <f>SUBTOTAL(103,WHR_Data[[#This Row],[Country]])</f>
        <v>1</v>
      </c>
    </row>
    <row r="102" spans="1:10" x14ac:dyDescent="0.25">
      <c r="A102" t="s">
        <v>136</v>
      </c>
      <c r="B102" s="1">
        <v>4.8934001922607422</v>
      </c>
      <c r="C102" s="1">
        <v>1.4329136610031128</v>
      </c>
      <c r="D102" s="1">
        <v>0.87568622827529907</v>
      </c>
      <c r="E102" s="1">
        <v>0.49562481045722961</v>
      </c>
      <c r="F102" s="1">
        <v>0.66815066337585449</v>
      </c>
      <c r="G102" s="1">
        <v>0.19919909536838531</v>
      </c>
      <c r="H102" s="2">
        <v>2025</v>
      </c>
      <c r="I102" t="s">
        <v>159</v>
      </c>
      <c r="J102">
        <f>SUBTOTAL(103,WHR_Data[[#This Row],[Country]])</f>
        <v>1</v>
      </c>
    </row>
    <row r="103" spans="1:10" x14ac:dyDescent="0.25">
      <c r="A103" t="s">
        <v>89</v>
      </c>
      <c r="B103" s="1">
        <v>4.8807997703552246</v>
      </c>
      <c r="C103" s="1">
        <v>1.0417711734771729</v>
      </c>
      <c r="D103" s="1">
        <v>1.0754878520965576</v>
      </c>
      <c r="E103" s="1">
        <v>0.25557792186737061</v>
      </c>
      <c r="F103" s="1">
        <v>0.56580913066864014</v>
      </c>
      <c r="G103" s="1">
        <v>1.8978452309966087E-2</v>
      </c>
      <c r="H103" s="2">
        <v>2025</v>
      </c>
      <c r="I103" t="s">
        <v>160</v>
      </c>
      <c r="J103">
        <f>SUBTOTAL(103,WHR_Data[[#This Row],[Country]])</f>
        <v>1</v>
      </c>
    </row>
    <row r="104" spans="1:10" x14ac:dyDescent="0.25">
      <c r="A104" t="s">
        <v>144</v>
      </c>
      <c r="B104" s="1">
        <v>4.8794999122619629</v>
      </c>
      <c r="C104" s="1">
        <v>1.2130000000000001</v>
      </c>
      <c r="D104" s="1">
        <v>0.94199999999999995</v>
      </c>
      <c r="E104" s="1">
        <v>0.51200000000000001</v>
      </c>
      <c r="F104" s="1">
        <v>0.71299999999999997</v>
      </c>
      <c r="G104" s="1">
        <v>3.1300000000000001E-2</v>
      </c>
      <c r="H104" s="2">
        <v>2025</v>
      </c>
      <c r="I104" t="s">
        <v>155</v>
      </c>
      <c r="J104">
        <f>SUBTOTAL(103,WHR_Data[[#This Row],[Country]])</f>
        <v>1</v>
      </c>
    </row>
    <row r="105" spans="1:10" x14ac:dyDescent="0.25">
      <c r="A105" t="s">
        <v>90</v>
      </c>
      <c r="B105" s="1">
        <v>4.8744001388549805</v>
      </c>
      <c r="C105" s="1">
        <v>0.9432443380355835</v>
      </c>
      <c r="D105" s="1">
        <v>0.85600453615188599</v>
      </c>
      <c r="E105" s="1">
        <v>0.28758153319358826</v>
      </c>
      <c r="F105" s="1">
        <v>0.52122795581817627</v>
      </c>
      <c r="G105" s="1">
        <v>6.031104177236557E-2</v>
      </c>
      <c r="H105" s="2">
        <v>2025</v>
      </c>
      <c r="I105" t="s">
        <v>160</v>
      </c>
      <c r="J105">
        <f>SUBTOTAL(103,WHR_Data[[#This Row],[Country]])</f>
        <v>1</v>
      </c>
    </row>
    <row r="106" spans="1:10" x14ac:dyDescent="0.25">
      <c r="A106" t="s">
        <v>86</v>
      </c>
      <c r="B106" s="1">
        <v>4.8730001449584961</v>
      </c>
      <c r="C106" s="1">
        <v>1.3498984575271606</v>
      </c>
      <c r="D106" s="1">
        <v>1.3152741193771362</v>
      </c>
      <c r="E106" s="1">
        <v>0.51329267024993896</v>
      </c>
      <c r="F106" s="1">
        <v>0.63064908981323242</v>
      </c>
      <c r="G106" s="1">
        <v>2.5387566536664963E-2</v>
      </c>
      <c r="H106" s="2">
        <v>2025</v>
      </c>
      <c r="I106" t="s">
        <v>156</v>
      </c>
      <c r="J106">
        <f>SUBTOTAL(103,WHR_Data[[#This Row],[Country]])</f>
        <v>1</v>
      </c>
    </row>
    <row r="107" spans="1:10" x14ac:dyDescent="0.25">
      <c r="A107" t="s">
        <v>98</v>
      </c>
      <c r="B107" s="1">
        <v>4.8316998481750488</v>
      </c>
      <c r="C107" s="1">
        <v>1.2663460969924927</v>
      </c>
      <c r="D107" s="1">
        <v>1.2120418548583984</v>
      </c>
      <c r="E107" s="1">
        <v>0.3068712055683136</v>
      </c>
      <c r="F107" s="1">
        <v>0.46973705291748047</v>
      </c>
      <c r="G107" s="1">
        <v>6.1482444405555725E-2</v>
      </c>
      <c r="H107" s="2">
        <v>2025</v>
      </c>
      <c r="I107" t="s">
        <v>160</v>
      </c>
      <c r="J107">
        <f>SUBTOTAL(103,WHR_Data[[#This Row],[Country]])</f>
        <v>1</v>
      </c>
    </row>
    <row r="108" spans="1:10" x14ac:dyDescent="0.25">
      <c r="A108" t="s">
        <v>93</v>
      </c>
      <c r="B108" s="1">
        <v>4.7947001457214355</v>
      </c>
      <c r="C108" s="1">
        <v>1.2134435176849365</v>
      </c>
      <c r="D108" s="1">
        <v>0.47105264663696289</v>
      </c>
      <c r="E108" s="1">
        <v>0.49464035034179688</v>
      </c>
      <c r="F108" s="1">
        <v>0.63110250234603882</v>
      </c>
      <c r="G108" s="1">
        <v>8.1818021833896637E-2</v>
      </c>
      <c r="H108" s="2">
        <v>2025</v>
      </c>
      <c r="I108" t="s">
        <v>155</v>
      </c>
      <c r="J108">
        <f>SUBTOTAL(103,WHR_Data[[#This Row],[Country]])</f>
        <v>1</v>
      </c>
    </row>
    <row r="109" spans="1:10" x14ac:dyDescent="0.25">
      <c r="A109" t="s">
        <v>100</v>
      </c>
      <c r="B109" s="1">
        <v>4.6567001342773438</v>
      </c>
      <c r="C109" s="1">
        <v>1.0685423612594604</v>
      </c>
      <c r="D109" s="1">
        <v>0.60037744045257568</v>
      </c>
      <c r="E109" s="1">
        <v>0.32071524858474731</v>
      </c>
      <c r="F109" s="1">
        <v>0.54194521903991699</v>
      </c>
      <c r="G109" s="1">
        <v>7.3963791131973267E-2</v>
      </c>
      <c r="H109" s="2">
        <v>2025</v>
      </c>
      <c r="I109" t="s">
        <v>161</v>
      </c>
      <c r="J109">
        <f>SUBTOTAL(103,WHR_Data[[#This Row],[Country]])</f>
        <v>1</v>
      </c>
    </row>
    <row r="110" spans="1:10" x14ac:dyDescent="0.25">
      <c r="A110" t="s">
        <v>101</v>
      </c>
      <c r="B110" s="1">
        <v>4.556300163269043</v>
      </c>
      <c r="C110" s="1">
        <v>0.57284975051879883</v>
      </c>
      <c r="D110" s="1">
        <v>0.67738664150238037</v>
      </c>
      <c r="E110" s="1">
        <v>0.29313042759895325</v>
      </c>
      <c r="F110" s="1">
        <v>0.61451572179794312</v>
      </c>
      <c r="G110" s="1">
        <v>0.14679871499538422</v>
      </c>
      <c r="H110" s="2">
        <v>2025</v>
      </c>
      <c r="I110" t="s">
        <v>160</v>
      </c>
      <c r="J110">
        <f>SUBTOTAL(103,WHR_Data[[#This Row],[Country]])</f>
        <v>1</v>
      </c>
    </row>
    <row r="111" spans="1:10" x14ac:dyDescent="0.25">
      <c r="A111" t="s">
        <v>97</v>
      </c>
      <c r="B111" s="1">
        <v>4.5479998588562012</v>
      </c>
      <c r="C111" s="1">
        <v>0.75584930181503296</v>
      </c>
      <c r="D111" s="1">
        <v>0.68505561351776123</v>
      </c>
      <c r="E111" s="1">
        <v>0.27372542023658752</v>
      </c>
      <c r="F111" s="1">
        <v>0.48293918371200562</v>
      </c>
      <c r="G111" s="1">
        <v>0.17866826057434082</v>
      </c>
      <c r="H111" s="2">
        <v>2025</v>
      </c>
      <c r="I111" t="s">
        <v>160</v>
      </c>
      <c r="J111">
        <f>SUBTOTAL(103,WHR_Data[[#This Row],[Country]])</f>
        <v>1</v>
      </c>
    </row>
    <row r="112" spans="1:10" x14ac:dyDescent="0.25">
      <c r="A112" t="s">
        <v>96</v>
      </c>
      <c r="B112" s="1">
        <v>4.5050997734069824</v>
      </c>
      <c r="C112" s="1">
        <v>1.077660083770752</v>
      </c>
      <c r="D112" s="1">
        <v>0.70462977886199951</v>
      </c>
      <c r="E112" s="1">
        <v>0.40008118748664856</v>
      </c>
      <c r="F112" s="1">
        <v>0.34259742498397827</v>
      </c>
      <c r="G112" s="1">
        <v>0.1984754204750061</v>
      </c>
      <c r="H112" s="2">
        <v>2025</v>
      </c>
      <c r="I112" t="s">
        <v>160</v>
      </c>
      <c r="J112">
        <f>SUBTOTAL(103,WHR_Data[[#This Row],[Country]])</f>
        <v>1</v>
      </c>
    </row>
    <row r="113" spans="1:10" x14ac:dyDescent="0.25">
      <c r="A113" t="s">
        <v>133</v>
      </c>
      <c r="B113" s="1">
        <v>4.4848999977111816</v>
      </c>
      <c r="C113" s="1">
        <v>0.75029802322387695</v>
      </c>
      <c r="D113" s="1">
        <v>0.68383723497390747</v>
      </c>
      <c r="E113" s="1">
        <v>0.32972538471221924</v>
      </c>
      <c r="F113" s="1">
        <v>0.4585888683795929</v>
      </c>
      <c r="G113" s="1">
        <v>4.7796253114938736E-2</v>
      </c>
      <c r="H113" s="2">
        <v>2025</v>
      </c>
      <c r="I113" t="s">
        <v>160</v>
      </c>
      <c r="J113">
        <f>SUBTOTAL(103,WHR_Data[[#This Row],[Country]])</f>
        <v>1</v>
      </c>
    </row>
    <row r="114" spans="1:10" x14ac:dyDescent="0.25">
      <c r="A114" t="s">
        <v>106</v>
      </c>
      <c r="B114" s="1">
        <v>4.4713001251220703</v>
      </c>
      <c r="C114" s="1">
        <v>0.60330259799957275</v>
      </c>
      <c r="D114" s="1">
        <v>0.80541253089904785</v>
      </c>
      <c r="E114" s="1">
        <v>0.19852656126022339</v>
      </c>
      <c r="F114" s="1">
        <v>0.41112658381462097</v>
      </c>
      <c r="G114" s="1">
        <v>0.11272654682397842</v>
      </c>
      <c r="H114" s="2">
        <v>2025</v>
      </c>
      <c r="I114" t="s">
        <v>160</v>
      </c>
      <c r="J114">
        <f>SUBTOTAL(103,WHR_Data[[#This Row],[Country]])</f>
        <v>1</v>
      </c>
    </row>
    <row r="115" spans="1:10" x14ac:dyDescent="0.25">
      <c r="A115" t="s">
        <v>103</v>
      </c>
      <c r="B115" s="1">
        <v>4.4696002006530762</v>
      </c>
      <c r="C115" s="1">
        <v>1.036737322807312</v>
      </c>
      <c r="D115" s="1">
        <v>0.89535057544708252</v>
      </c>
      <c r="E115" s="1">
        <v>0.35330137610435486</v>
      </c>
      <c r="F115" s="1">
        <v>0.51859217882156372</v>
      </c>
      <c r="G115" s="1">
        <v>6.859482079744339E-2</v>
      </c>
      <c r="H115" s="2">
        <v>2025</v>
      </c>
      <c r="I115" t="s">
        <v>160</v>
      </c>
      <c r="J115">
        <f>SUBTOTAL(103,WHR_Data[[#This Row],[Country]])</f>
        <v>1</v>
      </c>
    </row>
    <row r="116" spans="1:10" x14ac:dyDescent="0.25">
      <c r="A116" t="s">
        <v>102</v>
      </c>
      <c r="B116" s="1">
        <v>4.4218001365661621</v>
      </c>
      <c r="C116" s="1">
        <v>1.3064451217651367</v>
      </c>
      <c r="D116" s="1">
        <v>0.95469146966934204</v>
      </c>
      <c r="E116" s="1">
        <v>0.57910943031311035</v>
      </c>
      <c r="F116" s="1">
        <v>0.25393915176391602</v>
      </c>
      <c r="G116" s="1">
        <v>1.8353827297687531E-2</v>
      </c>
      <c r="H116" s="2">
        <v>2025</v>
      </c>
      <c r="I116" t="s">
        <v>155</v>
      </c>
      <c r="J116">
        <f>SUBTOTAL(103,WHR_Data[[#This Row],[Country]])</f>
        <v>1</v>
      </c>
    </row>
    <row r="117" spans="1:10" x14ac:dyDescent="0.25">
      <c r="A117" t="s">
        <v>108</v>
      </c>
      <c r="B117" s="1">
        <v>4.3773999214172363</v>
      </c>
      <c r="C117" s="1">
        <v>0.9135749340057373</v>
      </c>
      <c r="D117" s="1">
        <v>0.12834492325782776</v>
      </c>
      <c r="E117" s="1">
        <v>0.28404545783996582</v>
      </c>
      <c r="F117" s="1">
        <v>0.56680840253829956</v>
      </c>
      <c r="G117" s="1">
        <v>0.25205975770950317</v>
      </c>
      <c r="H117" s="2">
        <v>2025</v>
      </c>
      <c r="I117" t="s">
        <v>160</v>
      </c>
      <c r="J117">
        <f>SUBTOTAL(103,WHR_Data[[#This Row],[Country]])</f>
        <v>1</v>
      </c>
    </row>
    <row r="118" spans="1:10" x14ac:dyDescent="0.25">
      <c r="A118" t="s">
        <v>105</v>
      </c>
      <c r="B118" s="1">
        <v>4.3716998100280762</v>
      </c>
      <c r="C118" s="1">
        <v>0.77195256948471069</v>
      </c>
      <c r="D118" s="1">
        <v>1.1507896184921265</v>
      </c>
      <c r="E118" s="1">
        <v>0.37335091829299927</v>
      </c>
      <c r="F118" s="1">
        <v>0.58744722604751587</v>
      </c>
      <c r="G118" s="1">
        <v>5.4190244525671005E-2</v>
      </c>
      <c r="H118" s="2">
        <v>2025</v>
      </c>
      <c r="I118" t="s">
        <v>160</v>
      </c>
      <c r="J118">
        <f>SUBTOTAL(103,WHR_Data[[#This Row],[Country]])</f>
        <v>1</v>
      </c>
    </row>
    <row r="119" spans="1:10" x14ac:dyDescent="0.25">
      <c r="A119" t="s">
        <v>109</v>
      </c>
      <c r="B119" s="1">
        <v>4.3544998168945313</v>
      </c>
      <c r="C119" s="1">
        <v>0.97761642932891846</v>
      </c>
      <c r="D119" s="1">
        <v>0.98811346292495728</v>
      </c>
      <c r="E119" s="1">
        <v>0.43571144342422485</v>
      </c>
      <c r="F119" s="1">
        <v>0.45041283965110779</v>
      </c>
      <c r="G119" s="1">
        <v>0.17410466074943542</v>
      </c>
      <c r="H119" s="2">
        <v>2025</v>
      </c>
      <c r="I119" t="s">
        <v>157</v>
      </c>
      <c r="J119">
        <f>SUBTOTAL(103,WHR_Data[[#This Row],[Country]])</f>
        <v>1</v>
      </c>
    </row>
    <row r="120" spans="1:10" x14ac:dyDescent="0.25">
      <c r="A120" t="s">
        <v>107</v>
      </c>
      <c r="B120" s="1">
        <v>4.3407001495361328</v>
      </c>
      <c r="C120" s="1">
        <v>1.0109834671020508</v>
      </c>
      <c r="D120" s="1">
        <v>1.0185363292694092</v>
      </c>
      <c r="E120" s="1">
        <v>0.44200488924980164</v>
      </c>
      <c r="F120" s="1">
        <v>0.86333107948303223</v>
      </c>
      <c r="G120" s="1">
        <v>7.104724645614624E-2</v>
      </c>
      <c r="H120" s="2">
        <v>2025</v>
      </c>
      <c r="I120" t="s">
        <v>157</v>
      </c>
      <c r="J120">
        <f>SUBTOTAL(103,WHR_Data[[#This Row],[Country]])</f>
        <v>1</v>
      </c>
    </row>
    <row r="121" spans="1:10" x14ac:dyDescent="0.25">
      <c r="A121" t="s">
        <v>99</v>
      </c>
      <c r="B121" s="1">
        <v>4.2894001007080078</v>
      </c>
      <c r="C121" s="1">
        <v>1.0765100717544556</v>
      </c>
      <c r="D121" s="1">
        <v>0.74714690446853638</v>
      </c>
      <c r="E121" s="1">
        <v>0.35951659083366394</v>
      </c>
      <c r="F121" s="1">
        <v>0.62322330474853516</v>
      </c>
      <c r="G121" s="1">
        <v>2.7729582041501999E-2</v>
      </c>
      <c r="H121" s="2">
        <v>2025</v>
      </c>
      <c r="I121" t="s">
        <v>160</v>
      </c>
      <c r="J121">
        <f>SUBTOTAL(103,WHR_Data[[#This Row],[Country]])</f>
        <v>1</v>
      </c>
    </row>
    <row r="122" spans="1:10" x14ac:dyDescent="0.25">
      <c r="A122" t="s">
        <v>116</v>
      </c>
      <c r="B122" s="1">
        <v>4.2685999870300293</v>
      </c>
      <c r="C122" s="1">
        <v>0.61877793073654175</v>
      </c>
      <c r="D122" s="1">
        <v>0.673256516456604</v>
      </c>
      <c r="E122" s="1">
        <v>0.30065545439720154</v>
      </c>
      <c r="F122" s="1">
        <v>0.54583978652954102</v>
      </c>
      <c r="G122" s="1">
        <v>7.4501477181911469E-2</v>
      </c>
      <c r="H122" s="2">
        <v>2025</v>
      </c>
      <c r="I122" t="s">
        <v>160</v>
      </c>
      <c r="J122">
        <f>SUBTOTAL(103,WHR_Data[[#This Row],[Country]])</f>
        <v>1</v>
      </c>
    </row>
    <row r="123" spans="1:10" x14ac:dyDescent="0.25">
      <c r="A123" t="s">
        <v>111</v>
      </c>
      <c r="B123" s="1">
        <v>4.2319998741149902</v>
      </c>
      <c r="C123" s="1">
        <v>0.7474067211151123</v>
      </c>
      <c r="D123" s="1">
        <v>0.68790453672409058</v>
      </c>
      <c r="E123" s="1">
        <v>0.26746019721031189</v>
      </c>
      <c r="F123" s="1">
        <v>0.58569979667663574</v>
      </c>
      <c r="G123" s="1">
        <v>8.9603058993816376E-2</v>
      </c>
      <c r="H123" s="2">
        <v>2025</v>
      </c>
      <c r="I123" t="s">
        <v>160</v>
      </c>
      <c r="J123">
        <f>SUBTOTAL(103,WHR_Data[[#This Row],[Country]])</f>
        <v>1</v>
      </c>
    </row>
    <row r="124" spans="1:10" x14ac:dyDescent="0.25">
      <c r="A124" t="s">
        <v>118</v>
      </c>
      <c r="B124" s="1">
        <v>4.2279000282287598</v>
      </c>
      <c r="C124" s="1">
        <v>0.6279069185256958</v>
      </c>
      <c r="D124" s="1">
        <v>0.82349097728729248</v>
      </c>
      <c r="E124" s="1">
        <v>0.33322486281394958</v>
      </c>
      <c r="F124" s="1">
        <v>0.25047516822814941</v>
      </c>
      <c r="G124" s="1">
        <v>0.12322671711444855</v>
      </c>
      <c r="H124" s="2">
        <v>2025</v>
      </c>
      <c r="I124" t="s">
        <v>160</v>
      </c>
      <c r="J124">
        <f>SUBTOTAL(103,WHR_Data[[#This Row],[Country]])</f>
        <v>1</v>
      </c>
    </row>
    <row r="125" spans="1:10" x14ac:dyDescent="0.25">
      <c r="A125" t="s">
        <v>113</v>
      </c>
      <c r="B125" s="1">
        <v>4.2140998840332031</v>
      </c>
      <c r="C125" s="1">
        <v>0.75849395990371704</v>
      </c>
      <c r="D125" s="1">
        <v>0.58610826730728149</v>
      </c>
      <c r="E125" s="1">
        <v>0.32009798288345337</v>
      </c>
      <c r="F125" s="1">
        <v>0.45263394713401794</v>
      </c>
      <c r="G125" s="1">
        <v>0.15601274371147156</v>
      </c>
      <c r="H125" s="2">
        <v>2025</v>
      </c>
      <c r="I125" t="s">
        <v>160</v>
      </c>
      <c r="J125">
        <f>SUBTOTAL(103,WHR_Data[[#This Row],[Country]])</f>
        <v>1</v>
      </c>
    </row>
    <row r="126" spans="1:10" x14ac:dyDescent="0.25">
      <c r="A126" t="s">
        <v>114</v>
      </c>
      <c r="B126" s="1">
        <v>4.1858000755310059</v>
      </c>
      <c r="C126" s="1">
        <v>1.2622883319854736</v>
      </c>
      <c r="D126" s="1">
        <v>0.98295855522155762</v>
      </c>
      <c r="E126" s="1">
        <v>0.5943453311920166</v>
      </c>
      <c r="F126" s="1">
        <v>0.59322285652160645</v>
      </c>
      <c r="G126" s="1">
        <v>0.18945163488388062</v>
      </c>
      <c r="H126" s="2">
        <v>2025</v>
      </c>
      <c r="I126" t="s">
        <v>155</v>
      </c>
      <c r="J126">
        <f>SUBTOTAL(103,WHR_Data[[#This Row],[Country]])</f>
        <v>1</v>
      </c>
    </row>
    <row r="127" spans="1:10" x14ac:dyDescent="0.25">
      <c r="A127" t="s">
        <v>117</v>
      </c>
      <c r="B127" s="1">
        <v>4.0541000366210938</v>
      </c>
      <c r="C127" s="1">
        <v>1.1661732196807861</v>
      </c>
      <c r="D127" s="1">
        <v>0.65266716480255127</v>
      </c>
      <c r="E127" s="1">
        <v>0.41700702905654907</v>
      </c>
      <c r="F127" s="1">
        <v>0.76659846305847168</v>
      </c>
      <c r="G127" s="1">
        <v>0.12202008068561554</v>
      </c>
      <c r="H127" s="2">
        <v>2025</v>
      </c>
      <c r="I127" t="s">
        <v>161</v>
      </c>
      <c r="J127">
        <f>SUBTOTAL(103,WHR_Data[[#This Row],[Country]])</f>
        <v>1</v>
      </c>
    </row>
    <row r="128" spans="1:10" x14ac:dyDescent="0.25">
      <c r="A128" t="s">
        <v>112</v>
      </c>
      <c r="B128" s="1">
        <v>3.9765999317169189</v>
      </c>
      <c r="C128" s="1">
        <v>1.3699750900268555</v>
      </c>
      <c r="D128" s="1">
        <v>0.99585139751434326</v>
      </c>
      <c r="E128" s="1">
        <v>0.48767942190170288</v>
      </c>
      <c r="F128" s="1">
        <v>0.48970222473144531</v>
      </c>
      <c r="G128" s="1">
        <v>0.25922113656997681</v>
      </c>
      <c r="H128" s="2">
        <v>2025</v>
      </c>
      <c r="I128" t="s">
        <v>155</v>
      </c>
      <c r="J128">
        <f>SUBTOTAL(103,WHR_Data[[#This Row],[Country]])</f>
        <v>1</v>
      </c>
    </row>
    <row r="129" spans="1:10" x14ac:dyDescent="0.25">
      <c r="A129" t="s">
        <v>104</v>
      </c>
      <c r="B129" s="1">
        <v>3.8980998992919922</v>
      </c>
      <c r="C129" s="1">
        <v>1.3609724044799805</v>
      </c>
      <c r="D129" s="1">
        <v>1.1786798238754272</v>
      </c>
      <c r="E129" s="1">
        <v>0.5860215425491333</v>
      </c>
      <c r="F129" s="1">
        <v>0.58306217193603516</v>
      </c>
      <c r="G129" s="1">
        <v>3.0845755711197853E-2</v>
      </c>
      <c r="H129" s="2">
        <v>2025</v>
      </c>
      <c r="I129" t="s">
        <v>161</v>
      </c>
      <c r="J129">
        <f>SUBTOTAL(103,WHR_Data[[#This Row],[Country]])</f>
        <v>1</v>
      </c>
    </row>
    <row r="130" spans="1:10" x14ac:dyDescent="0.25">
      <c r="A130" t="s">
        <v>110</v>
      </c>
      <c r="B130" s="1">
        <v>3.8859000205993652</v>
      </c>
      <c r="C130" s="1">
        <v>1.1216069459915161</v>
      </c>
      <c r="D130" s="1">
        <v>0.24916358292102814</v>
      </c>
      <c r="E130" s="1">
        <v>0.51332014799118042</v>
      </c>
      <c r="F130" s="1">
        <v>0.77485388517379761</v>
      </c>
      <c r="G130" s="1">
        <v>0.16744175553321838</v>
      </c>
      <c r="H130" s="2">
        <v>2025</v>
      </c>
      <c r="I130" t="s">
        <v>161</v>
      </c>
      <c r="J130">
        <f>SUBTOTAL(103,WHR_Data[[#This Row],[Country]])</f>
        <v>1</v>
      </c>
    </row>
    <row r="131" spans="1:10" x14ac:dyDescent="0.25">
      <c r="A131" t="s">
        <v>115</v>
      </c>
      <c r="B131" s="1">
        <v>3.8608999252319336</v>
      </c>
      <c r="C131" s="1">
        <v>0.79156035184860229</v>
      </c>
      <c r="D131" s="1">
        <v>0.91491889953613281</v>
      </c>
      <c r="E131" s="1">
        <v>0.41979598999023438</v>
      </c>
      <c r="F131" s="1">
        <v>0.44089117646217346</v>
      </c>
      <c r="G131" s="1">
        <v>0.1006753146648407</v>
      </c>
      <c r="H131" s="2">
        <v>2025</v>
      </c>
      <c r="I131" t="s">
        <v>160</v>
      </c>
      <c r="J131">
        <f>SUBTOTAL(103,WHR_Data[[#This Row],[Country]])</f>
        <v>1</v>
      </c>
    </row>
    <row r="132" spans="1:10" x14ac:dyDescent="0.25">
      <c r="A132" t="s">
        <v>120</v>
      </c>
      <c r="B132" s="1">
        <v>3.7806000709533691</v>
      </c>
      <c r="C132" s="1">
        <v>0.82013702392578125</v>
      </c>
      <c r="D132" s="1">
        <v>0.70603954792022705</v>
      </c>
      <c r="E132" s="1">
        <v>0.37971571087837219</v>
      </c>
      <c r="F132" s="1">
        <v>0.70925503969192505</v>
      </c>
      <c r="G132" s="1">
        <v>0.25720483064651489</v>
      </c>
      <c r="H132" s="2">
        <v>2025</v>
      </c>
      <c r="I132" t="s">
        <v>160</v>
      </c>
      <c r="J132">
        <f>SUBTOTAL(103,WHR_Data[[#This Row],[Country]])</f>
        <v>1</v>
      </c>
    </row>
    <row r="133" spans="1:10" x14ac:dyDescent="0.25">
      <c r="A133" t="s">
        <v>121</v>
      </c>
      <c r="B133" s="1">
        <v>3.5662999153137207</v>
      </c>
      <c r="C133" s="1">
        <v>0.89553189277648926</v>
      </c>
      <c r="D133" s="1">
        <v>0.32799538969993591</v>
      </c>
      <c r="E133" s="1">
        <v>0.37022033333778381</v>
      </c>
      <c r="F133" s="1">
        <v>0.17212426662445068</v>
      </c>
      <c r="G133" s="1">
        <v>0.1596972793340683</v>
      </c>
      <c r="H133" s="2">
        <v>2025</v>
      </c>
      <c r="I133" t="s">
        <v>160</v>
      </c>
      <c r="J133">
        <f>SUBTOTAL(103,WHR_Data[[#This Row],[Country]])</f>
        <v>1</v>
      </c>
    </row>
    <row r="134" spans="1:10" x14ac:dyDescent="0.25">
      <c r="A134" t="s">
        <v>137</v>
      </c>
      <c r="B134" s="1">
        <v>3.5610001087188721</v>
      </c>
      <c r="C134" s="1">
        <v>0.67127901315689087</v>
      </c>
      <c r="D134" s="1">
        <v>1.2814736366271973</v>
      </c>
      <c r="E134" s="1">
        <v>0.29267072677612305</v>
      </c>
      <c r="F134" s="1">
        <v>0.36237761378288269</v>
      </c>
      <c r="G134" s="1">
        <v>0.11316867917776108</v>
      </c>
      <c r="H134" s="2">
        <v>2025</v>
      </c>
      <c r="I134" t="s">
        <v>155</v>
      </c>
      <c r="J134">
        <f>SUBTOTAL(103,WHR_Data[[#This Row],[Country]])</f>
        <v>1</v>
      </c>
    </row>
    <row r="135" spans="1:10" x14ac:dyDescent="0.25">
      <c r="A135" t="s">
        <v>119</v>
      </c>
      <c r="B135" s="1">
        <v>3.5023999214172363</v>
      </c>
      <c r="C135" s="1">
        <v>0.89897161722183228</v>
      </c>
      <c r="D135" s="1">
        <v>0.80891859531402588</v>
      </c>
      <c r="E135" s="1">
        <v>0.26401990652084351</v>
      </c>
      <c r="F135" s="1">
        <v>0.72705924510955811</v>
      </c>
      <c r="G135" s="1">
        <v>0.10934242606163025</v>
      </c>
      <c r="H135" s="2">
        <v>2025</v>
      </c>
      <c r="I135" t="s">
        <v>160</v>
      </c>
      <c r="J135">
        <f>SUBTOTAL(103,WHR_Data[[#This Row],[Country]])</f>
        <v>1</v>
      </c>
    </row>
    <row r="136" spans="1:10" x14ac:dyDescent="0.25">
      <c r="A136" t="s">
        <v>138</v>
      </c>
      <c r="B136" s="1">
        <v>3.502000093460083</v>
      </c>
      <c r="C136" s="1">
        <v>1.2553025484085083</v>
      </c>
      <c r="D136" s="1">
        <v>0.9251137375831604</v>
      </c>
      <c r="E136" s="1">
        <v>0.175948366522789</v>
      </c>
      <c r="F136" s="1">
        <v>0.28414106369018555</v>
      </c>
      <c r="G136" s="1">
        <v>0.11585400253534317</v>
      </c>
      <c r="H136" s="2">
        <v>2025</v>
      </c>
      <c r="I136" t="s">
        <v>160</v>
      </c>
      <c r="J136">
        <f>SUBTOTAL(103,WHR_Data[[#This Row],[Country]])</f>
        <v>1</v>
      </c>
    </row>
    <row r="137" spans="1:10" x14ac:dyDescent="0.25">
      <c r="A137" t="s">
        <v>122</v>
      </c>
      <c r="B137" s="1">
        <v>3.4210000038146973</v>
      </c>
      <c r="C137" s="1">
        <v>0.61691111326217651</v>
      </c>
      <c r="D137" s="1">
        <v>0.41037529706954956</v>
      </c>
      <c r="E137" s="1">
        <v>0.34911715984344482</v>
      </c>
      <c r="F137" s="1">
        <v>0.57089245319366455</v>
      </c>
      <c r="G137" s="1">
        <v>0.13581052422523499</v>
      </c>
      <c r="H137" s="2">
        <v>2025</v>
      </c>
      <c r="I137" t="s">
        <v>160</v>
      </c>
      <c r="J137">
        <f>SUBTOTAL(103,WHR_Data[[#This Row],[Country]])</f>
        <v>1</v>
      </c>
    </row>
    <row r="138" spans="1:10" x14ac:dyDescent="0.25">
      <c r="A138" t="s">
        <v>123</v>
      </c>
      <c r="B138" s="1">
        <v>3.3833999633789063</v>
      </c>
      <c r="C138" s="1">
        <v>1.4446913003921509</v>
      </c>
      <c r="D138" s="1">
        <v>0.96861052513122559</v>
      </c>
      <c r="E138" s="1">
        <v>0.24141126871109009</v>
      </c>
      <c r="F138" s="1">
        <v>0.56670814752578735</v>
      </c>
      <c r="G138" s="1">
        <v>8.2072243094444275E-2</v>
      </c>
      <c r="H138" s="2">
        <v>2025</v>
      </c>
      <c r="I138" t="s">
        <v>160</v>
      </c>
      <c r="J138">
        <f>SUBTOTAL(103,WHR_Data[[#This Row],[Country]])</f>
        <v>1</v>
      </c>
    </row>
    <row r="139" spans="1:10" x14ac:dyDescent="0.25">
      <c r="A139" t="s">
        <v>125</v>
      </c>
      <c r="B139" s="1">
        <v>3.3410999774932861</v>
      </c>
      <c r="C139" s="1">
        <v>0.74833720922470093</v>
      </c>
      <c r="D139" s="1">
        <v>0.85008198022842407</v>
      </c>
      <c r="E139" s="1">
        <v>0.23206385970115662</v>
      </c>
      <c r="F139" s="1">
        <v>0.48692381381988525</v>
      </c>
      <c r="G139" s="1">
        <v>0.13059785962104797</v>
      </c>
      <c r="H139" s="2">
        <v>2025</v>
      </c>
      <c r="I139" t="s">
        <v>160</v>
      </c>
      <c r="J139">
        <f>SUBTOTAL(103,WHR_Data[[#This Row],[Country]])</f>
        <v>1</v>
      </c>
    </row>
    <row r="140" spans="1:10" x14ac:dyDescent="0.25">
      <c r="A140" t="s">
        <v>124</v>
      </c>
      <c r="B140" s="1">
        <v>3.2953999042510986</v>
      </c>
      <c r="C140" s="1">
        <v>0.53367000818252563</v>
      </c>
      <c r="D140" s="1">
        <v>0.66470003128051758</v>
      </c>
      <c r="E140" s="1">
        <v>0.26150763034820557</v>
      </c>
      <c r="F140" s="1">
        <v>0.47270506620407104</v>
      </c>
      <c r="G140" s="1">
        <v>7.2167113423347473E-2</v>
      </c>
      <c r="H140" s="2">
        <v>2025</v>
      </c>
      <c r="I140" t="s">
        <v>160</v>
      </c>
      <c r="J140">
        <f>SUBTOTAL(103,WHR_Data[[#This Row],[Country]])</f>
        <v>1</v>
      </c>
    </row>
    <row r="141" spans="1:10" x14ac:dyDescent="0.25">
      <c r="A141" t="s">
        <v>126</v>
      </c>
      <c r="B141" s="1">
        <v>3.2451999187469482</v>
      </c>
      <c r="C141" s="1">
        <v>0.65427839756011963</v>
      </c>
      <c r="D141" s="1">
        <v>0.56597745418548584</v>
      </c>
      <c r="E141" s="1">
        <v>0.25332081317901611</v>
      </c>
      <c r="F141" s="1">
        <v>0.46903476119041443</v>
      </c>
      <c r="G141" s="1">
        <v>5.3299028426408768E-2</v>
      </c>
      <c r="H141" s="2">
        <v>2025</v>
      </c>
      <c r="I141" t="s">
        <v>160</v>
      </c>
      <c r="J141">
        <f>SUBTOTAL(103,WHR_Data[[#This Row],[Country]])</f>
        <v>1</v>
      </c>
    </row>
    <row r="142" spans="1:10" x14ac:dyDescent="0.25">
      <c r="A142" t="s">
        <v>139</v>
      </c>
      <c r="B142" s="1">
        <v>3.1861999034881592</v>
      </c>
      <c r="C142" s="1">
        <v>0.77080661058425903</v>
      </c>
      <c r="D142" s="1">
        <v>0.85058730840682983</v>
      </c>
      <c r="E142" s="1">
        <v>0</v>
      </c>
      <c r="F142" s="1">
        <v>0.52318823337554932</v>
      </c>
      <c r="G142" s="1">
        <v>8.4968514740467072E-2</v>
      </c>
      <c r="H142" s="2">
        <v>2025</v>
      </c>
      <c r="I142" t="s">
        <v>160</v>
      </c>
      <c r="J142">
        <f>SUBTOTAL(103,WHR_Data[[#This Row],[Country]])</f>
        <v>1</v>
      </c>
    </row>
    <row r="143" spans="1:10" x14ac:dyDescent="0.25">
      <c r="A143" t="s">
        <v>127</v>
      </c>
      <c r="B143" s="1">
        <v>2.7065000534057617</v>
      </c>
      <c r="C143" s="1">
        <v>1.3767255544662476</v>
      </c>
      <c r="D143" s="1">
        <v>0.57671290636062622</v>
      </c>
      <c r="E143" s="1">
        <v>0.55624687671661377</v>
      </c>
      <c r="F143" s="1">
        <v>0.17322312295436859</v>
      </c>
      <c r="G143" s="1">
        <v>2.8772255405783653E-2</v>
      </c>
      <c r="H143" s="2">
        <v>2025</v>
      </c>
      <c r="I143" t="s">
        <v>155</v>
      </c>
      <c r="J143">
        <f>SUBTOTAL(103,WHR_Data[[#This Row],[Country]])</f>
        <v>1</v>
      </c>
    </row>
    <row r="144" spans="1:10" x14ac:dyDescent="0.25">
      <c r="A144" t="s">
        <v>128</v>
      </c>
      <c r="B144" s="1">
        <v>1.7209999561309814</v>
      </c>
      <c r="C144" s="1">
        <v>0.62813818454742432</v>
      </c>
      <c r="D144" s="1">
        <v>0</v>
      </c>
      <c r="E144" s="1">
        <v>0.24176324903964996</v>
      </c>
      <c r="F144" s="1">
        <v>0</v>
      </c>
      <c r="G144" s="1">
        <v>8.847065269947052E-2</v>
      </c>
      <c r="H144" s="2">
        <v>2025</v>
      </c>
      <c r="I144" t="s">
        <v>161</v>
      </c>
      <c r="J144">
        <f>SUBTOTAL(103,WHR_Data[[#This Row],[Country]])</f>
        <v>1</v>
      </c>
    </row>
  </sheetData>
  <phoneticPr fontId="0" type="noConversion"/>
  <conditionalFormatting sqref="B2:B144">
    <cfRule type="top10" dxfId="1" priority="1" rank="10"/>
    <cfRule type="top10" dxfId="0" priority="2" bottom="1" rank="10"/>
  </conditionalFormatting>
  <pageMargins left="0.75" right="0.75" top="1" bottom="1" header="0.5" footer="0.5"/>
  <pageSetup orientation="portrait" horizontalDpi="1200" verticalDpi="1200" r:id="rId1"/>
  <headerFooter alignWithMargins="0"/>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7A5E4-053A-4097-91CB-2E638270C481}">
  <dimension ref="A1:H144"/>
  <sheetViews>
    <sheetView workbookViewId="0">
      <selection activeCell="A173" sqref="A173"/>
    </sheetView>
  </sheetViews>
  <sheetFormatPr defaultRowHeight="13.2" x14ac:dyDescent="0.25"/>
  <cols>
    <col min="1" max="1" width="23.5546875" customWidth="1"/>
    <col min="2" max="2" width="26.109375" customWidth="1"/>
    <col min="3" max="3" width="11.21875" customWidth="1"/>
    <col min="4" max="4" width="23.77734375" customWidth="1"/>
    <col min="5" max="5" width="13" customWidth="1"/>
    <col min="6" max="6" width="15.88671875" customWidth="1"/>
    <col min="7" max="7" width="18.77734375" customWidth="1"/>
    <col min="8" max="8" width="10.88671875" customWidth="1"/>
  </cols>
  <sheetData>
    <row r="1" spans="1:8" ht="17.399999999999999" x14ac:dyDescent="0.3">
      <c r="A1" s="36" t="s">
        <v>141</v>
      </c>
      <c r="B1" s="37" t="s">
        <v>140</v>
      </c>
      <c r="C1" s="37" t="s">
        <v>196</v>
      </c>
      <c r="D1" s="37" t="s">
        <v>142</v>
      </c>
      <c r="E1" s="37" t="s">
        <v>197</v>
      </c>
      <c r="F1" s="37" t="s">
        <v>143</v>
      </c>
      <c r="G1" s="37" t="s">
        <v>198</v>
      </c>
      <c r="H1" s="38" t="s">
        <v>146</v>
      </c>
    </row>
    <row r="2" spans="1:8" ht="15" hidden="1" x14ac:dyDescent="0.25">
      <c r="A2" s="31" t="s">
        <v>0</v>
      </c>
      <c r="B2" s="30">
        <v>7.7406997680664063</v>
      </c>
      <c r="C2" s="30">
        <v>1.8440535068511963</v>
      </c>
      <c r="D2" s="30">
        <v>1.5723668336868286</v>
      </c>
      <c r="E2" s="30">
        <v>0.69479256868362427</v>
      </c>
      <c r="F2" s="30">
        <v>0.85929417610168457</v>
      </c>
      <c r="G2" s="30">
        <v>0.54615777730941772</v>
      </c>
      <c r="H2" s="32">
        <v>2025</v>
      </c>
    </row>
    <row r="3" spans="1:8" ht="15" hidden="1" x14ac:dyDescent="0.25">
      <c r="A3" s="31" t="s">
        <v>1</v>
      </c>
      <c r="B3" s="30">
        <v>7.5826997756958008</v>
      </c>
      <c r="C3" s="30">
        <v>1.9077976942062378</v>
      </c>
      <c r="D3" s="30">
        <v>1.5203613042831421</v>
      </c>
      <c r="E3" s="30">
        <v>0.69894444942474365</v>
      </c>
      <c r="F3" s="30">
        <v>0.82273989915847778</v>
      </c>
      <c r="G3" s="30">
        <v>0.54841285943984985</v>
      </c>
      <c r="H3" s="32">
        <v>2025</v>
      </c>
    </row>
    <row r="4" spans="1:8" ht="15" hidden="1" x14ac:dyDescent="0.25">
      <c r="A4" s="31" t="s">
        <v>2</v>
      </c>
      <c r="B4" s="30">
        <v>7.5251002311706543</v>
      </c>
      <c r="C4" s="30">
        <v>1.8807179927825928</v>
      </c>
      <c r="D4" s="30">
        <v>1.616525411605835</v>
      </c>
      <c r="E4" s="30">
        <v>0.71834468841552734</v>
      </c>
      <c r="F4" s="30">
        <v>0.81850868463516235</v>
      </c>
      <c r="G4" s="30">
        <v>0.18247270584106445</v>
      </c>
      <c r="H4" s="32">
        <v>2025</v>
      </c>
    </row>
    <row r="5" spans="1:8" ht="15" hidden="1" x14ac:dyDescent="0.25">
      <c r="A5" s="31" t="s">
        <v>4</v>
      </c>
      <c r="B5" s="30">
        <v>7.3440999984741211</v>
      </c>
      <c r="C5" s="30">
        <v>1.8781455755233765</v>
      </c>
      <c r="D5" s="30">
        <v>1.5008261203765869</v>
      </c>
      <c r="E5" s="30">
        <v>0.72387146949768066</v>
      </c>
      <c r="F5" s="30">
        <v>0.83826935291290283</v>
      </c>
      <c r="G5" s="30">
        <v>0.523795485496521</v>
      </c>
      <c r="H5" s="32">
        <v>2025</v>
      </c>
    </row>
    <row r="6" spans="1:8" ht="15" hidden="1" x14ac:dyDescent="0.25">
      <c r="A6" s="31" t="s">
        <v>5</v>
      </c>
      <c r="B6" s="30">
        <v>7.3411002159118652</v>
      </c>
      <c r="C6" s="30">
        <v>1.8029335737228394</v>
      </c>
      <c r="D6" s="30">
        <v>1.5127928256988525</v>
      </c>
      <c r="E6" s="30">
        <v>0.73981618881225586</v>
      </c>
      <c r="F6" s="30">
        <v>0.64146286249160767</v>
      </c>
      <c r="G6" s="30">
        <v>0.19282267987728119</v>
      </c>
      <c r="H6" s="32">
        <v>2025</v>
      </c>
    </row>
    <row r="7" spans="1:8" ht="15" hidden="1" x14ac:dyDescent="0.25">
      <c r="A7" s="31" t="s">
        <v>3</v>
      </c>
      <c r="B7" s="30">
        <v>7.3193998336791992</v>
      </c>
      <c r="C7" s="30">
        <v>1.9006567001342773</v>
      </c>
      <c r="D7" s="30">
        <v>1.4620469808578491</v>
      </c>
      <c r="E7" s="30">
        <v>0.705882728099823</v>
      </c>
      <c r="F7" s="30">
        <v>0.72508126497268677</v>
      </c>
      <c r="G7" s="30">
        <v>0.37242096662521362</v>
      </c>
      <c r="H7" s="32">
        <v>2025</v>
      </c>
    </row>
    <row r="8" spans="1:8" ht="15" hidden="1" x14ac:dyDescent="0.25">
      <c r="A8" s="31" t="s">
        <v>5</v>
      </c>
      <c r="B8" s="30">
        <v>7.3017001152038574</v>
      </c>
      <c r="C8" s="30">
        <v>1.9519555568695068</v>
      </c>
      <c r="D8" s="30">
        <v>1.5165399312973022</v>
      </c>
      <c r="E8" s="30">
        <v>0.70379221439361572</v>
      </c>
      <c r="F8" s="30">
        <v>0.83537572622299194</v>
      </c>
      <c r="G8" s="30">
        <v>0.48393255472183228</v>
      </c>
      <c r="H8" s="32">
        <v>2025</v>
      </c>
    </row>
    <row r="9" spans="1:8" ht="15" hidden="1" x14ac:dyDescent="0.25">
      <c r="A9" s="31" t="s">
        <v>7</v>
      </c>
      <c r="B9" s="30">
        <v>7.1219000816345215</v>
      </c>
      <c r="C9" s="30">
        <v>2.1405189037322998</v>
      </c>
      <c r="D9" s="30">
        <v>1.3546255826950073</v>
      </c>
      <c r="E9" s="30">
        <v>0.70760393142700195</v>
      </c>
      <c r="F9" s="30">
        <v>0.80121308565139771</v>
      </c>
      <c r="G9" s="30">
        <v>0.43241101503372192</v>
      </c>
      <c r="H9" s="32">
        <v>2025</v>
      </c>
    </row>
    <row r="10" spans="1:8" ht="15" hidden="1" x14ac:dyDescent="0.25">
      <c r="A10" s="31" t="s">
        <v>6</v>
      </c>
      <c r="B10" s="30">
        <v>7.0602002143859863</v>
      </c>
      <c r="C10" s="30">
        <v>1.9702684879302979</v>
      </c>
      <c r="D10" s="30">
        <v>1.4249322414398193</v>
      </c>
      <c r="E10" s="30">
        <v>0.74674350023269653</v>
      </c>
      <c r="F10" s="30">
        <v>0.75915956497192383</v>
      </c>
      <c r="G10" s="30">
        <v>0.49761265516281128</v>
      </c>
      <c r="H10" s="32">
        <v>2025</v>
      </c>
    </row>
    <row r="11" spans="1:8" ht="15" hidden="1" x14ac:dyDescent="0.25">
      <c r="A11" s="31" t="s">
        <v>10</v>
      </c>
      <c r="B11" s="30">
        <v>7.0569000244140625</v>
      </c>
      <c r="C11" s="30">
        <v>1.8542584180831909</v>
      </c>
      <c r="D11" s="30">
        <v>1.4610912799835205</v>
      </c>
      <c r="E11" s="30">
        <v>0.69201797246932983</v>
      </c>
      <c r="F11" s="30">
        <v>0.7562706470489502</v>
      </c>
      <c r="G11" s="30">
        <v>0.32335191965103149</v>
      </c>
      <c r="H11" s="32">
        <v>2025</v>
      </c>
    </row>
    <row r="12" spans="1:8" ht="15" hidden="1" x14ac:dyDescent="0.25">
      <c r="A12" s="31" t="s">
        <v>8</v>
      </c>
      <c r="B12" s="30">
        <v>7.0292000770568848</v>
      </c>
      <c r="C12" s="30">
        <v>1.8103488683700562</v>
      </c>
      <c r="D12" s="30">
        <v>1.5269402265548706</v>
      </c>
      <c r="E12" s="30">
        <v>0.67262148857116699</v>
      </c>
      <c r="F12" s="30">
        <v>0.74554717540740967</v>
      </c>
      <c r="G12" s="30">
        <v>0.48021689057350159</v>
      </c>
      <c r="H12" s="32">
        <v>2025</v>
      </c>
    </row>
    <row r="13" spans="1:8" ht="15" hidden="1" x14ac:dyDescent="0.25">
      <c r="A13" s="31" t="s">
        <v>20</v>
      </c>
      <c r="B13" s="30">
        <v>6.9553999900817871</v>
      </c>
      <c r="C13" s="30">
        <v>1.5606451034545898</v>
      </c>
      <c r="D13" s="30">
        <v>1.3730103969573975</v>
      </c>
      <c r="E13" s="30">
        <v>0.66084557771682739</v>
      </c>
      <c r="F13" s="30">
        <v>0.79651153087615967</v>
      </c>
      <c r="G13" s="30">
        <v>0.1229485422372818</v>
      </c>
      <c r="H13" s="32">
        <v>2025</v>
      </c>
    </row>
    <row r="14" spans="1:8" ht="15" hidden="1" x14ac:dyDescent="0.25">
      <c r="A14" s="31" t="s">
        <v>134</v>
      </c>
      <c r="B14" s="30">
        <v>6.9513998031616211</v>
      </c>
      <c r="C14" s="30">
        <v>1.8450720310211182</v>
      </c>
      <c r="D14" s="30">
        <v>1.3636543750762939</v>
      </c>
      <c r="E14" s="30">
        <v>0.66117829084396362</v>
      </c>
      <c r="F14" s="30">
        <v>0.82658016681671143</v>
      </c>
      <c r="G14" s="30">
        <v>0.17166642844676971</v>
      </c>
      <c r="H14" s="32">
        <v>2025</v>
      </c>
    </row>
    <row r="15" spans="1:8" ht="15" hidden="1" x14ac:dyDescent="0.25">
      <c r="A15" s="31" t="s">
        <v>9</v>
      </c>
      <c r="B15" s="30">
        <v>6.9046998023986816</v>
      </c>
      <c r="C15" s="30">
        <v>1.8852653503417969</v>
      </c>
      <c r="D15" s="30">
        <v>1.3363960981369019</v>
      </c>
      <c r="E15" s="30">
        <v>0.69617384672164917</v>
      </c>
      <c r="F15" s="30">
        <v>0.70274490118026733</v>
      </c>
      <c r="G15" s="30">
        <v>0.30455476045608521</v>
      </c>
      <c r="H15" s="32">
        <v>2025</v>
      </c>
    </row>
    <row r="16" spans="1:8" ht="15" hidden="1" x14ac:dyDescent="0.25">
      <c r="A16" s="31" t="s">
        <v>11</v>
      </c>
      <c r="B16" s="30">
        <v>6.8996000289916992</v>
      </c>
      <c r="C16" s="30">
        <v>1.8397207260131836</v>
      </c>
      <c r="D16" s="30">
        <v>1.4586304426193237</v>
      </c>
      <c r="E16" s="30">
        <v>0.70102101564407349</v>
      </c>
      <c r="F16" s="30">
        <v>0.7300763726234436</v>
      </c>
      <c r="G16" s="30">
        <v>0.36821934580802917</v>
      </c>
      <c r="H16" s="32">
        <v>2025</v>
      </c>
    </row>
    <row r="17" spans="1:8" ht="15" hidden="1" x14ac:dyDescent="0.25">
      <c r="A17" s="31" t="s">
        <v>15</v>
      </c>
      <c r="B17" s="30">
        <v>6.8941998481750488</v>
      </c>
      <c r="C17" s="30">
        <v>1.8680410385131836</v>
      </c>
      <c r="D17" s="30">
        <v>1.4404232501983643</v>
      </c>
      <c r="E17" s="30">
        <v>0.68993294239044189</v>
      </c>
      <c r="F17" s="30">
        <v>0.72876101732254028</v>
      </c>
      <c r="G17" s="30">
        <v>0.31080135703086853</v>
      </c>
      <c r="H17" s="32">
        <v>2025</v>
      </c>
    </row>
    <row r="18" spans="1:8" ht="15" hidden="1" x14ac:dyDescent="0.25">
      <c r="A18" s="31" t="s">
        <v>12</v>
      </c>
      <c r="B18" s="30">
        <v>6.8379998207092285</v>
      </c>
      <c r="C18" s="30">
        <v>2.1288285255432129</v>
      </c>
      <c r="D18" s="30">
        <v>1.3898677825927734</v>
      </c>
      <c r="E18" s="30">
        <v>0.69963717460632324</v>
      </c>
      <c r="F18" s="30">
        <v>0.75762069225311279</v>
      </c>
      <c r="G18" s="30">
        <v>0.4181419312953949</v>
      </c>
      <c r="H18" s="32">
        <v>2025</v>
      </c>
    </row>
    <row r="19" spans="1:8" ht="15" hidden="1" x14ac:dyDescent="0.25">
      <c r="A19" s="31" t="s">
        <v>129</v>
      </c>
      <c r="B19" s="30">
        <v>6.8218002319335938</v>
      </c>
      <c r="C19" s="30">
        <v>1.783191442489624</v>
      </c>
      <c r="D19" s="30">
        <v>1.5110107660293579</v>
      </c>
      <c r="E19" s="30">
        <v>0.637978196144104</v>
      </c>
      <c r="F19" s="30">
        <v>0.78650104999542236</v>
      </c>
      <c r="G19" s="30">
        <v>6.7852526903152466E-2</v>
      </c>
      <c r="H19" s="32">
        <v>2025</v>
      </c>
    </row>
    <row r="20" spans="1:8" ht="15" hidden="1" x14ac:dyDescent="0.25">
      <c r="A20" s="31" t="s">
        <v>17</v>
      </c>
      <c r="B20" s="30">
        <v>6.817500114440918</v>
      </c>
      <c r="C20" s="30">
        <v>1.7656822204589844</v>
      </c>
      <c r="D20" s="30">
        <v>1.4535820484161377</v>
      </c>
      <c r="E20" s="30">
        <v>0.59839785099029541</v>
      </c>
      <c r="F20" s="30">
        <v>0.53268539905548096</v>
      </c>
      <c r="G20" s="30">
        <v>0.11584359407424927</v>
      </c>
      <c r="H20" s="32">
        <v>2025</v>
      </c>
    </row>
    <row r="21" spans="1:8" ht="15" hidden="1" x14ac:dyDescent="0.25">
      <c r="A21" s="31" t="s">
        <v>16</v>
      </c>
      <c r="B21" s="30">
        <v>6.749000072479248</v>
      </c>
      <c r="C21" s="30">
        <v>1.8222154378890991</v>
      </c>
      <c r="D21" s="30">
        <v>1.3261128664016724</v>
      </c>
      <c r="E21" s="30">
        <v>0.67192769050598145</v>
      </c>
      <c r="F21" s="30">
        <v>0.71310406923294067</v>
      </c>
      <c r="G21" s="30">
        <v>0.35134166479110718</v>
      </c>
      <c r="H21" s="32">
        <v>2025</v>
      </c>
    </row>
    <row r="22" spans="1:8" ht="15" hidden="1" x14ac:dyDescent="0.25">
      <c r="A22" s="31" t="s">
        <v>19</v>
      </c>
      <c r="B22" s="30">
        <v>6.7432999610900879</v>
      </c>
      <c r="C22" s="30">
        <v>1.785599946975708</v>
      </c>
      <c r="D22" s="30">
        <v>1.5022037029266357</v>
      </c>
      <c r="E22" s="30">
        <v>0.69478285312652588</v>
      </c>
      <c r="F22" s="30">
        <v>0.78949558734893799</v>
      </c>
      <c r="G22" s="30">
        <v>0.13059186935424805</v>
      </c>
      <c r="H22" s="32">
        <v>2025</v>
      </c>
    </row>
    <row r="23" spans="1:8" ht="15" hidden="1" x14ac:dyDescent="0.25">
      <c r="A23" s="31" t="s">
        <v>23</v>
      </c>
      <c r="B23" s="30">
        <v>6.7330999374389648</v>
      </c>
      <c r="C23" s="30">
        <v>1.9831197261810303</v>
      </c>
      <c r="D23" s="30">
        <v>1.163949728012085</v>
      </c>
      <c r="E23" s="30">
        <v>0.56257724761962891</v>
      </c>
      <c r="F23" s="30">
        <v>0.81499636173248291</v>
      </c>
      <c r="G23" s="30">
        <v>0.25830468535423279</v>
      </c>
      <c r="H23" s="32">
        <v>2025</v>
      </c>
    </row>
    <row r="24" spans="1:8" ht="15" hidden="1" x14ac:dyDescent="0.25">
      <c r="A24" s="31" t="s">
        <v>13</v>
      </c>
      <c r="B24" s="30">
        <v>6.7248001098632813</v>
      </c>
      <c r="C24" s="30">
        <v>1.9388630390167236</v>
      </c>
      <c r="D24" s="30">
        <v>1.3917354345321655</v>
      </c>
      <c r="E24" s="30">
        <v>0.54240137338638306</v>
      </c>
      <c r="F24" s="30">
        <v>0.58635401725769043</v>
      </c>
      <c r="G24" s="30">
        <v>0.16915079951286316</v>
      </c>
      <c r="H24" s="32">
        <v>2025</v>
      </c>
    </row>
    <row r="25" spans="1:8" ht="15" hidden="1" x14ac:dyDescent="0.25">
      <c r="A25" s="31" t="s">
        <v>14</v>
      </c>
      <c r="B25" s="30">
        <v>6.7185001373291016</v>
      </c>
      <c r="C25" s="30">
        <v>1.8713324069976807</v>
      </c>
      <c r="D25" s="30">
        <v>1.3896832466125488</v>
      </c>
      <c r="E25" s="30">
        <v>0.70241111516952515</v>
      </c>
      <c r="F25" s="30">
        <v>0.69984734058380127</v>
      </c>
      <c r="G25" s="30">
        <v>0.36781448125839233</v>
      </c>
      <c r="H25" s="32">
        <v>2025</v>
      </c>
    </row>
    <row r="26" spans="1:8" ht="15" hidden="1" x14ac:dyDescent="0.25">
      <c r="A26" s="31" t="s">
        <v>32</v>
      </c>
      <c r="B26" s="30">
        <v>6.6779999732971191</v>
      </c>
      <c r="C26" s="30">
        <v>1.5207414627075195</v>
      </c>
      <c r="D26" s="30">
        <v>1.2411946058273315</v>
      </c>
      <c r="E26" s="30">
        <v>0.54447031021118164</v>
      </c>
      <c r="F26" s="30">
        <v>0.7221110463142395</v>
      </c>
      <c r="G26" s="30">
        <v>0.12664742767810822</v>
      </c>
      <c r="H26" s="32">
        <v>2025</v>
      </c>
    </row>
    <row r="27" spans="1:8" ht="15" hidden="1" x14ac:dyDescent="0.25">
      <c r="A27" s="31" t="s">
        <v>24</v>
      </c>
      <c r="B27" s="30">
        <v>6.6114997863769531</v>
      </c>
      <c r="C27" s="30">
        <v>1.5955692529678345</v>
      </c>
      <c r="D27" s="30">
        <v>1.4314388036727905</v>
      </c>
      <c r="E27" s="30">
        <v>0.59157454967498779</v>
      </c>
      <c r="F27" s="30">
        <v>0.77518963813781738</v>
      </c>
      <c r="G27" s="30">
        <v>0.22047239542007446</v>
      </c>
      <c r="H27" s="32">
        <v>2025</v>
      </c>
    </row>
    <row r="28" spans="1:8" ht="15" hidden="1" x14ac:dyDescent="0.25">
      <c r="A28" s="31" t="s">
        <v>18</v>
      </c>
      <c r="B28" s="30">
        <v>6.6090002059936523</v>
      </c>
      <c r="C28" s="30">
        <v>1.818342924118042</v>
      </c>
      <c r="D28" s="30">
        <v>1.3481022119522095</v>
      </c>
      <c r="E28" s="30">
        <v>0.72734665870666504</v>
      </c>
      <c r="F28" s="30">
        <v>0.64982038736343384</v>
      </c>
      <c r="G28" s="30">
        <v>0.28087812662124634</v>
      </c>
      <c r="H28" s="32">
        <v>2025</v>
      </c>
    </row>
    <row r="29" spans="1:8" ht="15" hidden="1" x14ac:dyDescent="0.25">
      <c r="A29" s="31" t="s">
        <v>26</v>
      </c>
      <c r="B29" s="30">
        <v>6.5935001373291016</v>
      </c>
      <c r="C29" s="30">
        <v>1.8423970937728882</v>
      </c>
      <c r="D29" s="30">
        <v>1.3606481552124023</v>
      </c>
      <c r="E29" s="30">
        <v>0.51123934984207153</v>
      </c>
      <c r="F29" s="30">
        <v>0.78711843490600586</v>
      </c>
      <c r="G29" s="30">
        <v>0.18797534704208374</v>
      </c>
      <c r="H29" s="32">
        <v>2025</v>
      </c>
    </row>
    <row r="30" spans="1:8" ht="15" hidden="1" x14ac:dyDescent="0.25">
      <c r="A30" s="31" t="s">
        <v>30</v>
      </c>
      <c r="B30" s="30">
        <v>6.560999870300293</v>
      </c>
      <c r="C30" s="30">
        <v>1.3642358779907227</v>
      </c>
      <c r="D30" s="30">
        <v>1.2768206596374512</v>
      </c>
      <c r="E30" s="30">
        <v>0.59914642572402954</v>
      </c>
      <c r="F30" s="30">
        <v>0.73933923244476318</v>
      </c>
      <c r="G30" s="30">
        <v>7.2635821998119354E-2</v>
      </c>
      <c r="H30" s="32">
        <v>2025</v>
      </c>
    </row>
    <row r="31" spans="1:8" ht="15" hidden="1" x14ac:dyDescent="0.25">
      <c r="A31" s="31" t="s">
        <v>22</v>
      </c>
      <c r="B31" s="30">
        <v>6.5227999687194824</v>
      </c>
      <c r="C31" s="30">
        <v>2.1180984973907471</v>
      </c>
      <c r="D31" s="30">
        <v>1.3612234592437744</v>
      </c>
      <c r="E31" s="30">
        <v>0.76891559362411499</v>
      </c>
      <c r="F31" s="30">
        <v>0.74294829368591309</v>
      </c>
      <c r="G31" s="30">
        <v>0.57510924339294434</v>
      </c>
      <c r="H31" s="32">
        <v>2025</v>
      </c>
    </row>
    <row r="32" spans="1:8" ht="15" hidden="1" x14ac:dyDescent="0.25">
      <c r="A32" s="31" t="s">
        <v>130</v>
      </c>
      <c r="B32" s="30">
        <v>6.5034999847412109</v>
      </c>
      <c r="C32" s="30">
        <v>1.8415800333023071</v>
      </c>
      <c r="D32" s="30">
        <v>1.3458658456802368</v>
      </c>
      <c r="E32" s="30">
        <v>0.64976215362548828</v>
      </c>
      <c r="F32" s="30">
        <v>0.6490362286567688</v>
      </c>
      <c r="G32" s="30">
        <v>0.20234744250774384</v>
      </c>
      <c r="H32" s="32">
        <v>2025</v>
      </c>
    </row>
    <row r="33" spans="1:8" ht="15" hidden="1" x14ac:dyDescent="0.25">
      <c r="A33" s="31" t="s">
        <v>21</v>
      </c>
      <c r="B33" s="30">
        <v>6.4911999702453613</v>
      </c>
      <c r="C33" s="30">
        <v>1.6990300416946411</v>
      </c>
      <c r="D33" s="30">
        <v>1.235722541809082</v>
      </c>
      <c r="E33" s="30">
        <v>0.58258247375488281</v>
      </c>
      <c r="F33" s="30">
        <v>0.7165672779083252</v>
      </c>
      <c r="G33" s="30">
        <v>6.3170590437948704E-3</v>
      </c>
      <c r="H33" s="32">
        <v>2025</v>
      </c>
    </row>
    <row r="34" spans="1:8" ht="15" hidden="1" x14ac:dyDescent="0.25">
      <c r="A34" s="31" t="s">
        <v>46</v>
      </c>
      <c r="B34" s="30">
        <v>6.4686999320983887</v>
      </c>
      <c r="C34" s="30">
        <v>1.2650809288024902</v>
      </c>
      <c r="D34" s="30">
        <v>1.07977294921875</v>
      </c>
      <c r="E34" s="30">
        <v>0.54873484373092651</v>
      </c>
      <c r="F34" s="30">
        <v>0.81603050231933594</v>
      </c>
      <c r="G34" s="30">
        <v>0.25271326303482056</v>
      </c>
      <c r="H34" s="32">
        <v>2025</v>
      </c>
    </row>
    <row r="35" spans="1:8" ht="15" hidden="1" x14ac:dyDescent="0.25">
      <c r="A35" s="31" t="s">
        <v>27</v>
      </c>
      <c r="B35" s="30">
        <v>6.447700023651123</v>
      </c>
      <c r="C35" s="30">
        <v>1.7518472671508789</v>
      </c>
      <c r="D35" s="30">
        <v>1.5270930528640747</v>
      </c>
      <c r="E35" s="30">
        <v>0.65734779834747314</v>
      </c>
      <c r="F35" s="30">
        <v>0.80537539720535278</v>
      </c>
      <c r="G35" s="30">
        <v>0.40149340033531189</v>
      </c>
      <c r="H35" s="32">
        <v>2025</v>
      </c>
    </row>
    <row r="36" spans="1:8" ht="15" hidden="1" x14ac:dyDescent="0.25">
      <c r="A36" s="31" t="s">
        <v>35</v>
      </c>
      <c r="B36" s="30">
        <v>6.441500186920166</v>
      </c>
      <c r="C36" s="30">
        <v>1.737703800201416</v>
      </c>
      <c r="D36" s="30">
        <v>1.417370080947876</v>
      </c>
      <c r="E36" s="30">
        <v>0.63935500383377075</v>
      </c>
      <c r="F36" s="30">
        <v>0.60003972053527832</v>
      </c>
      <c r="G36" s="30">
        <v>0.17530547082424164</v>
      </c>
      <c r="H36" s="32">
        <v>2025</v>
      </c>
    </row>
    <row r="37" spans="1:8" ht="15" hidden="1" x14ac:dyDescent="0.25">
      <c r="A37" s="31" t="s">
        <v>28</v>
      </c>
      <c r="B37" s="30">
        <v>6.4208998680114746</v>
      </c>
      <c r="C37" s="30">
        <v>1.7661887407302856</v>
      </c>
      <c r="D37" s="30">
        <v>1.4706276655197144</v>
      </c>
      <c r="E37" s="30">
        <v>0.72942513227462769</v>
      </c>
      <c r="F37" s="30">
        <v>0.6189807653427124</v>
      </c>
      <c r="G37" s="30">
        <v>0.17715202271938324</v>
      </c>
      <c r="H37" s="32">
        <v>2025</v>
      </c>
    </row>
    <row r="38" spans="1:8" ht="15" hidden="1" x14ac:dyDescent="0.25">
      <c r="A38" s="31" t="s">
        <v>41</v>
      </c>
      <c r="B38" s="30">
        <v>6.4107999801635742</v>
      </c>
      <c r="C38" s="30">
        <v>1.5378245115280151</v>
      </c>
      <c r="D38" s="30">
        <v>1.3914881944656372</v>
      </c>
      <c r="E38" s="30">
        <v>0.58534294366836548</v>
      </c>
      <c r="F38" s="30">
        <v>0.66322684288024902</v>
      </c>
      <c r="G38" s="30">
        <v>0.10063029080629349</v>
      </c>
      <c r="H38" s="32">
        <v>2025</v>
      </c>
    </row>
    <row r="39" spans="1:8" ht="15" hidden="1" x14ac:dyDescent="0.25">
      <c r="A39" s="31" t="s">
        <v>31</v>
      </c>
      <c r="B39" s="30">
        <v>6.3603000640869141</v>
      </c>
      <c r="C39" s="30">
        <v>1.6164460182189941</v>
      </c>
      <c r="D39" s="30">
        <v>1.3689835071563721</v>
      </c>
      <c r="E39" s="30">
        <v>0.67331045866012573</v>
      </c>
      <c r="F39" s="30">
        <v>0.65083158016204834</v>
      </c>
      <c r="G39" s="30">
        <v>7.5476005673408508E-2</v>
      </c>
      <c r="H39" s="32">
        <v>2025</v>
      </c>
    </row>
    <row r="40" spans="1:8" ht="15" hidden="1" x14ac:dyDescent="0.25">
      <c r="A40" s="31" t="s">
        <v>34</v>
      </c>
      <c r="B40" s="30">
        <v>6.3582000732421875</v>
      </c>
      <c r="C40" s="30">
        <v>1.7017160654067993</v>
      </c>
      <c r="D40" s="30">
        <v>1.3919932842254639</v>
      </c>
      <c r="E40" s="30">
        <v>0.63315385580062866</v>
      </c>
      <c r="F40" s="30">
        <v>0.71992337703704834</v>
      </c>
      <c r="G40" s="30">
        <v>4.2526066303253174E-2</v>
      </c>
      <c r="H40" s="32">
        <v>2025</v>
      </c>
    </row>
    <row r="41" spans="1:8" ht="15" hidden="1" x14ac:dyDescent="0.25">
      <c r="A41" s="31" t="s">
        <v>33</v>
      </c>
      <c r="B41" s="30">
        <v>6.3457999229431152</v>
      </c>
      <c r="C41" s="30">
        <v>1.8269320726394653</v>
      </c>
      <c r="D41" s="30">
        <v>1.4435973167419434</v>
      </c>
      <c r="E41" s="30">
        <v>0.7065659761428833</v>
      </c>
      <c r="F41" s="30">
        <v>0.72701311111450195</v>
      </c>
      <c r="G41" s="30">
        <v>0.12470190227031708</v>
      </c>
      <c r="H41" s="32">
        <v>2025</v>
      </c>
    </row>
    <row r="42" spans="1:8" ht="15" hidden="1" x14ac:dyDescent="0.25">
      <c r="A42" s="31" t="s">
        <v>29</v>
      </c>
      <c r="B42" s="30">
        <v>6.3235001564025879</v>
      </c>
      <c r="C42" s="30">
        <v>1.8001515865325928</v>
      </c>
      <c r="D42" s="30">
        <v>1.328234076499939</v>
      </c>
      <c r="E42" s="30">
        <v>0.71972364187240601</v>
      </c>
      <c r="F42" s="30">
        <v>0.51298743486404419</v>
      </c>
      <c r="G42" s="30">
        <v>7.3561303317546844E-2</v>
      </c>
      <c r="H42" s="32">
        <v>2025</v>
      </c>
    </row>
    <row r="43" spans="1:8" ht="15" hidden="1" x14ac:dyDescent="0.25">
      <c r="A43" s="31" t="s">
        <v>39</v>
      </c>
      <c r="B43" s="30">
        <v>6.2870001792907715</v>
      </c>
      <c r="C43" s="30">
        <v>1.2595252990722656</v>
      </c>
      <c r="D43" s="30">
        <v>1.1688857078552246</v>
      </c>
      <c r="E43" s="30">
        <v>0.46691173315048218</v>
      </c>
      <c r="F43" s="30">
        <v>0.73530352115631104</v>
      </c>
      <c r="G43" s="30">
        <v>7.7771469950675964E-2</v>
      </c>
      <c r="H43" s="32">
        <v>2025</v>
      </c>
    </row>
    <row r="44" spans="1:8" ht="15" hidden="1" x14ac:dyDescent="0.25">
      <c r="A44" s="31" t="s">
        <v>36</v>
      </c>
      <c r="B44" s="30">
        <v>6.2838997840881348</v>
      </c>
      <c r="C44" s="30">
        <v>1.0972721576690674</v>
      </c>
      <c r="D44" s="30">
        <v>1.263219952583313</v>
      </c>
      <c r="E44" s="30">
        <v>0.54240095615386963</v>
      </c>
      <c r="F44" s="30">
        <v>0.79340648651123047</v>
      </c>
      <c r="G44" s="30">
        <v>0.25100430846214294</v>
      </c>
      <c r="H44" s="32">
        <v>2025</v>
      </c>
    </row>
    <row r="45" spans="1:8" ht="15" hidden="1" x14ac:dyDescent="0.25">
      <c r="A45" s="31" t="s">
        <v>45</v>
      </c>
      <c r="B45" s="30">
        <v>6.2719998359680176</v>
      </c>
      <c r="C45" s="30">
        <v>1.4295258522033691</v>
      </c>
      <c r="D45" s="30">
        <v>1.26877760887146</v>
      </c>
      <c r="E45" s="30">
        <v>0.54791021347045898</v>
      </c>
      <c r="F45" s="30">
        <v>0.68522375822067261</v>
      </c>
      <c r="G45" s="30">
        <v>0.14245125651359558</v>
      </c>
      <c r="H45" s="32">
        <v>2025</v>
      </c>
    </row>
    <row r="46" spans="1:8" ht="15" hidden="1" x14ac:dyDescent="0.25">
      <c r="A46" s="31" t="s">
        <v>25</v>
      </c>
      <c r="B46" s="30">
        <v>6.2571001052856445</v>
      </c>
      <c r="C46" s="30">
        <v>1.7055419683456421</v>
      </c>
      <c r="D46" s="30">
        <v>1.5402960777282715</v>
      </c>
      <c r="E46" s="30">
        <v>0.63796424865722656</v>
      </c>
      <c r="F46" s="30">
        <v>0.56641948223114014</v>
      </c>
      <c r="G46" s="30">
        <v>5.7916749268770218E-2</v>
      </c>
      <c r="H46" s="32">
        <v>2025</v>
      </c>
    </row>
    <row r="47" spans="1:8" ht="15" hidden="1" x14ac:dyDescent="0.25">
      <c r="A47" s="31" t="s">
        <v>37</v>
      </c>
      <c r="B47" s="30">
        <v>6.2344999313354492</v>
      </c>
      <c r="C47" s="30">
        <v>1.7002942562103271</v>
      </c>
      <c r="D47" s="30">
        <v>1.5084776878356934</v>
      </c>
      <c r="E47" s="30">
        <v>0.56384015083312988</v>
      </c>
      <c r="F47" s="30">
        <v>0.6662898063659668</v>
      </c>
      <c r="G47" s="30">
        <v>7.8438013792037964E-2</v>
      </c>
      <c r="H47" s="32">
        <v>2025</v>
      </c>
    </row>
    <row r="48" spans="1:8" ht="15" hidden="1" x14ac:dyDescent="0.25">
      <c r="A48" s="31" t="s">
        <v>50</v>
      </c>
      <c r="B48" s="30">
        <v>6.195000171661377</v>
      </c>
      <c r="C48" s="30">
        <v>1.2116951942443848</v>
      </c>
      <c r="D48" s="30">
        <v>1.3944715261459351</v>
      </c>
      <c r="E48" s="30">
        <v>0.53892111778259277</v>
      </c>
      <c r="F48" s="30">
        <v>0.83495360612869263</v>
      </c>
      <c r="G48" s="30">
        <v>0.21466396749019623</v>
      </c>
      <c r="H48" s="32">
        <v>2025</v>
      </c>
    </row>
    <row r="49" spans="1:8" ht="15" hidden="1" x14ac:dyDescent="0.25">
      <c r="A49" s="31" t="s">
        <v>48</v>
      </c>
      <c r="B49" s="30">
        <v>6.1880998611450195</v>
      </c>
      <c r="C49" s="30">
        <v>1.5617474317550659</v>
      </c>
      <c r="D49" s="30">
        <v>1.3813045024871826</v>
      </c>
      <c r="E49" s="30">
        <v>0.58465063571929932</v>
      </c>
      <c r="F49" s="30">
        <v>0.6807437539100647</v>
      </c>
      <c r="G49" s="30">
        <v>8.045727014541626E-2</v>
      </c>
      <c r="H49" s="32">
        <v>2025</v>
      </c>
    </row>
    <row r="50" spans="1:8" ht="15" hidden="1" x14ac:dyDescent="0.25">
      <c r="A50" s="31" t="s">
        <v>40</v>
      </c>
      <c r="B50" s="30">
        <v>6.1875</v>
      </c>
      <c r="C50" s="30">
        <v>1.6224950551986694</v>
      </c>
      <c r="D50" s="30">
        <v>1.4566448926925659</v>
      </c>
      <c r="E50" s="30">
        <v>0.55558097362518311</v>
      </c>
      <c r="F50" s="30">
        <v>0.73258322477340698</v>
      </c>
      <c r="G50" s="30">
        <v>0.11975425481796265</v>
      </c>
      <c r="H50" s="32">
        <v>2025</v>
      </c>
    </row>
    <row r="51" spans="1:8" ht="15" hidden="1" x14ac:dyDescent="0.25">
      <c r="A51" s="31" t="s">
        <v>42</v>
      </c>
      <c r="B51" s="30">
        <v>6.0680999755859375</v>
      </c>
      <c r="C51" s="30">
        <v>1.7937989234924316</v>
      </c>
      <c r="D51" s="30">
        <v>1.2169917821884155</v>
      </c>
      <c r="E51" s="30">
        <v>0.74399131536483765</v>
      </c>
      <c r="F51" s="30">
        <v>0.5287899374961853</v>
      </c>
      <c r="G51" s="30">
        <v>4.9175325781106949E-2</v>
      </c>
      <c r="H51" s="32">
        <v>2025</v>
      </c>
    </row>
    <row r="52" spans="1:8" ht="15" hidden="1" x14ac:dyDescent="0.25">
      <c r="A52" s="31" t="s">
        <v>43</v>
      </c>
      <c r="B52" s="30">
        <v>6.0598001480102539</v>
      </c>
      <c r="C52" s="30">
        <v>1.7857211828231812</v>
      </c>
      <c r="D52" s="30">
        <v>1.3543787002563477</v>
      </c>
      <c r="E52" s="30">
        <v>0.78483772277832031</v>
      </c>
      <c r="F52" s="30">
        <v>0.63151836395263672</v>
      </c>
      <c r="G52" s="30">
        <v>0.21942955255508423</v>
      </c>
      <c r="H52" s="32">
        <v>2025</v>
      </c>
    </row>
    <row r="53" spans="1:8" ht="15" hidden="1" x14ac:dyDescent="0.25">
      <c r="A53" s="31" t="s">
        <v>53</v>
      </c>
      <c r="B53" s="30">
        <v>6.0578999519348145</v>
      </c>
      <c r="C53" s="30">
        <v>1.8149861097335815</v>
      </c>
      <c r="D53" s="30">
        <v>1.1780478954315186</v>
      </c>
      <c r="E53" s="30">
        <v>0.76963245868682861</v>
      </c>
      <c r="F53" s="30">
        <v>0.55467605590820313</v>
      </c>
      <c r="G53" s="30">
        <v>0.15793220698833466</v>
      </c>
      <c r="H53" s="32">
        <v>2025</v>
      </c>
    </row>
    <row r="54" spans="1:8" ht="15" hidden="1" x14ac:dyDescent="0.25">
      <c r="A54" s="31" t="s">
        <v>72</v>
      </c>
      <c r="B54" s="30">
        <v>6.0475997924804688</v>
      </c>
      <c r="C54" s="30">
        <v>1.2319400310516357</v>
      </c>
      <c r="D54" s="30">
        <v>1.1459598541259766</v>
      </c>
      <c r="E54" s="30">
        <v>0.44125506281852722</v>
      </c>
      <c r="F54" s="30">
        <v>0.82627832889556885</v>
      </c>
      <c r="G54" s="30">
        <v>0.13602666556835175</v>
      </c>
      <c r="H54" s="32">
        <v>2025</v>
      </c>
    </row>
    <row r="55" spans="1:8" ht="15" hidden="1" x14ac:dyDescent="0.25">
      <c r="A55" s="31" t="s">
        <v>61</v>
      </c>
      <c r="B55" s="30">
        <v>6.0430002212524414</v>
      </c>
      <c r="C55" s="30">
        <v>1.330500602722168</v>
      </c>
      <c r="D55" s="30">
        <v>1.2670079469680786</v>
      </c>
      <c r="E55" s="30">
        <v>0.53891986608505249</v>
      </c>
      <c r="F55" s="30">
        <v>0.8425632119178772</v>
      </c>
      <c r="G55" s="30">
        <v>0.15998345613479614</v>
      </c>
      <c r="H55" s="32">
        <v>2025</v>
      </c>
    </row>
    <row r="56" spans="1:8" ht="15" hidden="1" x14ac:dyDescent="0.25">
      <c r="A56" s="31" t="s">
        <v>52</v>
      </c>
      <c r="B56" s="30">
        <v>6.0296001434326172</v>
      </c>
      <c r="C56" s="30">
        <v>1.7275601625442505</v>
      </c>
      <c r="D56" s="30">
        <v>1.3677244186401367</v>
      </c>
      <c r="E56" s="30">
        <v>0.69895011186599731</v>
      </c>
      <c r="F56" s="30">
        <v>0.75667178630828857</v>
      </c>
      <c r="G56" s="30">
        <v>3.534143790602684E-2</v>
      </c>
      <c r="H56" s="32">
        <v>2025</v>
      </c>
    </row>
    <row r="57" spans="1:8" ht="15" hidden="1" x14ac:dyDescent="0.25">
      <c r="A57" s="31" t="s">
        <v>47</v>
      </c>
      <c r="B57" s="30">
        <v>6.0169000625610352</v>
      </c>
      <c r="C57" s="30">
        <v>1.7220711708068848</v>
      </c>
      <c r="D57" s="30">
        <v>1.5282142162322998</v>
      </c>
      <c r="E57" s="30">
        <v>0.59574204683303833</v>
      </c>
      <c r="F57" s="30">
        <v>0.58092683553695679</v>
      </c>
      <c r="G57" s="30">
        <v>6.7108042538166046E-2</v>
      </c>
      <c r="H57" s="32">
        <v>2025</v>
      </c>
    </row>
    <row r="58" spans="1:8" ht="15" hidden="1" x14ac:dyDescent="0.25">
      <c r="A58" s="31" t="s">
        <v>62</v>
      </c>
      <c r="B58" s="30">
        <v>5.9765000343322754</v>
      </c>
      <c r="C58" s="30">
        <v>1.3981411457061768</v>
      </c>
      <c r="D58" s="30">
        <v>1.4080097675323486</v>
      </c>
      <c r="E58" s="30">
        <v>0.5486299991607666</v>
      </c>
      <c r="F58" s="30">
        <v>0.78757679462432861</v>
      </c>
      <c r="G58" s="30">
        <v>6.5295100212097168E-2</v>
      </c>
      <c r="H58" s="32">
        <v>2025</v>
      </c>
    </row>
    <row r="59" spans="1:8" ht="15" hidden="1" x14ac:dyDescent="0.25">
      <c r="A59" s="31" t="s">
        <v>56</v>
      </c>
      <c r="B59" s="30">
        <v>5.976099967956543</v>
      </c>
      <c r="C59" s="30">
        <v>1.4842075109481812</v>
      </c>
      <c r="D59" s="30">
        <v>1.3467154502868652</v>
      </c>
      <c r="E59" s="30">
        <v>0.61997759342193604</v>
      </c>
      <c r="F59" s="30">
        <v>0.75567859411239624</v>
      </c>
      <c r="G59" s="30">
        <v>2.4175690487027168E-2</v>
      </c>
      <c r="H59" s="32">
        <v>2025</v>
      </c>
    </row>
    <row r="60" spans="1:8" ht="15" hidden="1" x14ac:dyDescent="0.25">
      <c r="A60" s="31" t="s">
        <v>51</v>
      </c>
      <c r="B60" s="30">
        <v>5.9752001762390137</v>
      </c>
      <c r="C60" s="30">
        <v>1.6458711624145508</v>
      </c>
      <c r="D60" s="30">
        <v>1.1434816122055054</v>
      </c>
      <c r="E60" s="30">
        <v>0.5396227240562439</v>
      </c>
      <c r="F60" s="30">
        <v>0.82854324579238892</v>
      </c>
      <c r="G60" s="30">
        <v>0.11904513835906982</v>
      </c>
      <c r="H60" s="32">
        <v>2025</v>
      </c>
    </row>
    <row r="61" spans="1:8" ht="15" hidden="1" x14ac:dyDescent="0.25">
      <c r="A61" s="31" t="s">
        <v>60</v>
      </c>
      <c r="B61" s="30">
        <v>5.9727001190185547</v>
      </c>
      <c r="C61" s="30">
        <v>1.4968482255935669</v>
      </c>
      <c r="D61" s="30">
        <v>1.238689661026001</v>
      </c>
      <c r="E61" s="30">
        <v>0.62890815734863281</v>
      </c>
      <c r="F61" s="30">
        <v>0.70440632104873657</v>
      </c>
      <c r="G61" s="30">
        <v>0.16350486874580383</v>
      </c>
      <c r="H61" s="32">
        <v>2025</v>
      </c>
    </row>
    <row r="62" spans="1:8" ht="15" hidden="1" x14ac:dyDescent="0.25">
      <c r="A62" s="31" t="s">
        <v>49</v>
      </c>
      <c r="B62" s="30">
        <v>5.9684000015258789</v>
      </c>
      <c r="C62" s="30">
        <v>1.0906941890716553</v>
      </c>
      <c r="D62" s="30">
        <v>1.0354576110839844</v>
      </c>
      <c r="E62" s="30">
        <v>0.50224244594573975</v>
      </c>
      <c r="F62" s="30">
        <v>0.71987932920455933</v>
      </c>
      <c r="G62" s="30">
        <v>8.0780990421772003E-2</v>
      </c>
      <c r="H62" s="32">
        <v>2025</v>
      </c>
    </row>
    <row r="63" spans="1:8" ht="15" hidden="1" x14ac:dyDescent="0.25">
      <c r="A63" s="31" t="s">
        <v>38</v>
      </c>
      <c r="B63" s="30">
        <v>5.9590997695922852</v>
      </c>
      <c r="C63" s="30"/>
      <c r="D63" s="30"/>
      <c r="E63" s="30"/>
      <c r="F63" s="30"/>
      <c r="G63" s="30"/>
      <c r="H63" s="32">
        <v>2025</v>
      </c>
    </row>
    <row r="64" spans="1:8" ht="15" hidden="1" x14ac:dyDescent="0.25">
      <c r="A64" s="31" t="s">
        <v>44</v>
      </c>
      <c r="B64" s="30">
        <v>5.9422998428344727</v>
      </c>
      <c r="C64" s="30">
        <v>1.7100956439971924</v>
      </c>
      <c r="D64" s="30">
        <v>1.4447548389434814</v>
      </c>
      <c r="E64" s="30">
        <v>0.6366000771522522</v>
      </c>
      <c r="F64" s="30">
        <v>0.46918749809265137</v>
      </c>
      <c r="G64" s="30">
        <v>4.2858440428972244E-2</v>
      </c>
      <c r="H64" s="32">
        <v>2025</v>
      </c>
    </row>
    <row r="65" spans="1:8" ht="15" hidden="1" x14ac:dyDescent="0.25">
      <c r="A65" s="31" t="s">
        <v>54</v>
      </c>
      <c r="B65" s="30">
        <v>5.9335999488830566</v>
      </c>
      <c r="C65" s="30">
        <v>1.6839154958724976</v>
      </c>
      <c r="D65" s="30">
        <v>1.2760926485061646</v>
      </c>
      <c r="E65" s="30">
        <v>0.69617533683776855</v>
      </c>
      <c r="F65" s="30">
        <v>0.33715590834617615</v>
      </c>
      <c r="G65" s="30">
        <v>9.2573896050453186E-2</v>
      </c>
      <c r="H65" s="32">
        <v>2025</v>
      </c>
    </row>
    <row r="66" spans="1:8" ht="15" hidden="1" x14ac:dyDescent="0.25">
      <c r="A66" s="31" t="s">
        <v>67</v>
      </c>
      <c r="B66" s="30">
        <v>5.8769998550415039</v>
      </c>
      <c r="C66" s="30">
        <v>1.4647413492202759</v>
      </c>
      <c r="D66" s="30">
        <v>1.3181260824203491</v>
      </c>
      <c r="E66" s="30">
        <v>0.58742433786392212</v>
      </c>
      <c r="F66" s="30">
        <v>0.62063795328140259</v>
      </c>
      <c r="G66" s="30">
        <v>0</v>
      </c>
      <c r="H66" s="32">
        <v>2025</v>
      </c>
    </row>
    <row r="67" spans="1:8" ht="15" hidden="1" x14ac:dyDescent="0.25">
      <c r="A67" s="31" t="s">
        <v>135</v>
      </c>
      <c r="B67" s="30">
        <v>5.866300106048584</v>
      </c>
      <c r="C67" s="30">
        <v>1.5256569385528564</v>
      </c>
      <c r="D67" s="30">
        <v>1.0999952554702759</v>
      </c>
      <c r="E67" s="30">
        <v>0.54969483613967896</v>
      </c>
      <c r="F67" s="30">
        <v>0.5917096734046936</v>
      </c>
      <c r="G67" s="30">
        <v>0.20356906950473785</v>
      </c>
      <c r="H67" s="32">
        <v>2025</v>
      </c>
    </row>
    <row r="68" spans="1:8" ht="15" hidden="1" x14ac:dyDescent="0.25">
      <c r="A68" s="31" t="s">
        <v>64</v>
      </c>
      <c r="B68" s="30">
        <v>5.8417000770568848</v>
      </c>
      <c r="C68" s="30">
        <v>1.2801949977874756</v>
      </c>
      <c r="D68" s="30">
        <v>1.3238065242767334</v>
      </c>
      <c r="E68" s="30">
        <v>0.56663691997528076</v>
      </c>
      <c r="F68" s="30">
        <v>0.64691823720932007</v>
      </c>
      <c r="G68" s="30">
        <v>2.8065191581845284E-2</v>
      </c>
      <c r="H68" s="32">
        <v>2025</v>
      </c>
    </row>
    <row r="69" spans="1:8" ht="15" hidden="1" x14ac:dyDescent="0.25">
      <c r="A69" s="31" t="s">
        <v>71</v>
      </c>
      <c r="B69" s="30">
        <v>5.8408999443054199</v>
      </c>
      <c r="C69" s="30">
        <v>1.3706018924713135</v>
      </c>
      <c r="D69" s="30">
        <v>1.1799687147140503</v>
      </c>
      <c r="E69" s="30">
        <v>0.66154378652572632</v>
      </c>
      <c r="F69" s="30">
        <v>0.61484372615814209</v>
      </c>
      <c r="G69" s="30">
        <v>2.8730554506182671E-2</v>
      </c>
      <c r="H69" s="32">
        <v>2025</v>
      </c>
    </row>
    <row r="70" spans="1:8" ht="15" hidden="1" x14ac:dyDescent="0.25">
      <c r="A70" s="31" t="s">
        <v>69</v>
      </c>
      <c r="B70" s="30">
        <v>5.8228001594543457</v>
      </c>
      <c r="C70" s="30">
        <v>1.5166972875595093</v>
      </c>
      <c r="D70" s="30">
        <v>1.2715129852294922</v>
      </c>
      <c r="E70" s="30">
        <v>0.51123809814453125</v>
      </c>
      <c r="F70" s="30">
        <v>0.72989439964294434</v>
      </c>
      <c r="G70" s="30">
        <v>0.19556351006031036</v>
      </c>
      <c r="H70" s="32">
        <v>2025</v>
      </c>
    </row>
    <row r="71" spans="1:8" ht="15" hidden="1" x14ac:dyDescent="0.25">
      <c r="A71" s="31" t="s">
        <v>55</v>
      </c>
      <c r="B71" s="30">
        <v>5.8164000511169434</v>
      </c>
      <c r="C71" s="30">
        <v>1.5704201459884644</v>
      </c>
      <c r="D71" s="30">
        <v>1.3577836751937866</v>
      </c>
      <c r="E71" s="30">
        <v>0.48974645137786865</v>
      </c>
      <c r="F71" s="30">
        <v>0.64079582691192627</v>
      </c>
      <c r="G71" s="30">
        <v>0.11776747554540634</v>
      </c>
      <c r="H71" s="32">
        <v>2025</v>
      </c>
    </row>
    <row r="72" spans="1:8" ht="15" hidden="1" x14ac:dyDescent="0.25">
      <c r="A72" s="31" t="s">
        <v>59</v>
      </c>
      <c r="B72" s="30">
        <v>5.8158998489379883</v>
      </c>
      <c r="C72" s="30">
        <v>1.3853644132614136</v>
      </c>
      <c r="D72" s="30">
        <v>1.277184009552002</v>
      </c>
      <c r="E72" s="30">
        <v>0.54165703058242798</v>
      </c>
      <c r="F72" s="30">
        <v>0.69485604763031006</v>
      </c>
      <c r="G72" s="30">
        <v>4.4482506811618805E-2</v>
      </c>
      <c r="H72" s="32">
        <v>2025</v>
      </c>
    </row>
    <row r="73" spans="1:8" ht="15" hidden="1" x14ac:dyDescent="0.25">
      <c r="A73" s="31" t="s">
        <v>66</v>
      </c>
      <c r="B73" s="30">
        <v>5.7852997779846191</v>
      </c>
      <c r="C73" s="30">
        <v>1.6421922445297241</v>
      </c>
      <c r="D73" s="30">
        <v>1.3511909246444702</v>
      </c>
      <c r="E73" s="30">
        <v>0.53135198354721069</v>
      </c>
      <c r="F73" s="30">
        <v>0.55145341157913208</v>
      </c>
      <c r="G73" s="30">
        <v>0.12052719295024872</v>
      </c>
      <c r="H73" s="32">
        <v>2025</v>
      </c>
    </row>
    <row r="74" spans="1:8" ht="15" hidden="1" x14ac:dyDescent="0.25">
      <c r="A74" s="31" t="s">
        <v>65</v>
      </c>
      <c r="B74" s="30">
        <v>5.7842998504638672</v>
      </c>
      <c r="C74" s="30">
        <v>1.2170525789260864</v>
      </c>
      <c r="D74" s="30">
        <v>1.1794114112854004</v>
      </c>
      <c r="E74" s="30">
        <v>0.48760786652565002</v>
      </c>
      <c r="F74" s="30">
        <v>0.71946114301681519</v>
      </c>
      <c r="G74" s="30">
        <v>6.0818608850240707E-2</v>
      </c>
      <c r="H74" s="32">
        <v>2025</v>
      </c>
    </row>
    <row r="75" spans="1:8" ht="15" hidden="1" x14ac:dyDescent="0.25">
      <c r="A75" s="31" t="s">
        <v>70</v>
      </c>
      <c r="B75" s="30">
        <v>5.7245001792907715</v>
      </c>
      <c r="C75" s="30">
        <v>1.3154677152633667</v>
      </c>
      <c r="D75" s="30">
        <v>1.1506501436233521</v>
      </c>
      <c r="E75" s="30">
        <v>0.6400609016418457</v>
      </c>
      <c r="F75" s="30">
        <v>0.60608112812042236</v>
      </c>
      <c r="G75" s="30">
        <v>7.8329697251319885E-2</v>
      </c>
      <c r="H75" s="32">
        <v>2025</v>
      </c>
    </row>
    <row r="76" spans="1:8" ht="15" hidden="1" x14ac:dyDescent="0.25">
      <c r="A76" s="31" t="s">
        <v>58</v>
      </c>
      <c r="B76" s="30">
        <v>5.7135000228881836</v>
      </c>
      <c r="C76" s="30">
        <v>1.0542736053466797</v>
      </c>
      <c r="D76" s="30">
        <v>1.4769147634506226</v>
      </c>
      <c r="E76" s="30">
        <v>0.58809810876846313</v>
      </c>
      <c r="F76" s="30">
        <v>0.83427447080612183</v>
      </c>
      <c r="G76" s="30">
        <v>2.9853262007236481E-2</v>
      </c>
      <c r="H76" s="32">
        <v>2025</v>
      </c>
    </row>
    <row r="77" spans="1:8" ht="15" hidden="1" x14ac:dyDescent="0.25">
      <c r="A77" s="31" t="s">
        <v>63</v>
      </c>
      <c r="B77" s="30">
        <v>5.7069997787475586</v>
      </c>
      <c r="C77" s="30">
        <v>1.5705214738845825</v>
      </c>
      <c r="D77" s="30">
        <v>1.3179855346679688</v>
      </c>
      <c r="E77" s="30">
        <v>0.58742481470108032</v>
      </c>
      <c r="F77" s="30">
        <v>0.63172835111618042</v>
      </c>
      <c r="G77" s="30">
        <v>0.13215145468711853</v>
      </c>
      <c r="H77" s="32">
        <v>2025</v>
      </c>
    </row>
    <row r="78" spans="1:8" ht="15" hidden="1" x14ac:dyDescent="0.25">
      <c r="A78" s="31" t="s">
        <v>57</v>
      </c>
      <c r="B78" s="30">
        <v>5.696199893951416</v>
      </c>
      <c r="C78" s="30">
        <v>1.3527040481567383</v>
      </c>
      <c r="D78" s="30">
        <v>1.5106477737426758</v>
      </c>
      <c r="E78" s="30">
        <v>0.40038603544235229</v>
      </c>
      <c r="F78" s="30">
        <v>0.50080066919326782</v>
      </c>
      <c r="G78" s="30">
        <v>5.5269941687583923E-2</v>
      </c>
      <c r="H78" s="32">
        <v>2025</v>
      </c>
    </row>
    <row r="79" spans="1:8" ht="15" hidden="1" x14ac:dyDescent="0.25">
      <c r="A79" s="31" t="s">
        <v>68</v>
      </c>
      <c r="B79" s="30">
        <v>5.6950998306274414</v>
      </c>
      <c r="C79" s="30">
        <v>1.4369055032730103</v>
      </c>
      <c r="D79" s="30">
        <v>1.2406914234161377</v>
      </c>
      <c r="E79" s="30">
        <v>0.64767903089523315</v>
      </c>
      <c r="F79" s="30">
        <v>0.64391934871673584</v>
      </c>
      <c r="G79" s="30">
        <v>5.8607902377843857E-2</v>
      </c>
      <c r="H79" s="32">
        <v>2025</v>
      </c>
    </row>
    <row r="80" spans="1:8" ht="15" hidden="1" x14ac:dyDescent="0.25">
      <c r="A80" s="31" t="s">
        <v>82</v>
      </c>
      <c r="B80" s="30">
        <v>5.6066999435424805</v>
      </c>
      <c r="C80" s="30">
        <v>0</v>
      </c>
      <c r="D80" s="30">
        <v>1.3213502168655396</v>
      </c>
      <c r="E80" s="30">
        <v>0.49113830924034119</v>
      </c>
      <c r="F80" s="30">
        <v>0.51791286468505859</v>
      </c>
      <c r="G80" s="30">
        <v>8.6161896586418152E-2</v>
      </c>
      <c r="H80" s="32">
        <v>2025</v>
      </c>
    </row>
    <row r="81" spans="1:8" ht="15" hidden="1" x14ac:dyDescent="0.25">
      <c r="A81" s="31" t="s">
        <v>79</v>
      </c>
      <c r="B81" s="30">
        <v>5.5682997703552246</v>
      </c>
      <c r="C81" s="30">
        <v>1.3614945411682129</v>
      </c>
      <c r="D81" s="30">
        <v>1.1842628717422485</v>
      </c>
      <c r="E81" s="30">
        <v>0.47167095541954041</v>
      </c>
      <c r="F81" s="30">
        <v>0.7794453501701355</v>
      </c>
      <c r="G81" s="30">
        <v>5.4712675511837006E-2</v>
      </c>
      <c r="H81" s="32">
        <v>2025</v>
      </c>
    </row>
    <row r="82" spans="1:8" ht="15" hidden="1" x14ac:dyDescent="0.25">
      <c r="A82" s="31" t="s">
        <v>73</v>
      </c>
      <c r="B82" s="30">
        <v>5.4626998901367188</v>
      </c>
      <c r="C82" s="30">
        <v>1.6293822526931763</v>
      </c>
      <c r="D82" s="30">
        <v>1.4687789678573608</v>
      </c>
      <c r="E82" s="30">
        <v>0.56662088632583618</v>
      </c>
      <c r="F82" s="30">
        <v>0.62039607763290405</v>
      </c>
      <c r="G82" s="30">
        <v>6.1505655758082867E-3</v>
      </c>
      <c r="H82" s="32">
        <v>2025</v>
      </c>
    </row>
    <row r="83" spans="1:8" ht="15" hidden="1" x14ac:dyDescent="0.25">
      <c r="A83" s="31" t="s">
        <v>75</v>
      </c>
      <c r="B83" s="30">
        <v>5.454899787902832</v>
      </c>
      <c r="C83" s="30">
        <v>1.4435883760452271</v>
      </c>
      <c r="D83" s="30">
        <v>1.1544399261474609</v>
      </c>
      <c r="E83" s="30">
        <v>0.60340416431427002</v>
      </c>
      <c r="F83" s="30">
        <v>0.65023398399353027</v>
      </c>
      <c r="G83" s="30">
        <v>0.17305009067058563</v>
      </c>
      <c r="H83" s="32">
        <v>2025</v>
      </c>
    </row>
    <row r="84" spans="1:8" ht="15" hidden="1" x14ac:dyDescent="0.25">
      <c r="A84" s="31" t="s">
        <v>80</v>
      </c>
      <c r="B84" s="30">
        <v>5.4219999313354492</v>
      </c>
      <c r="C84" s="30">
        <v>1.3891060352325439</v>
      </c>
      <c r="D84" s="30">
        <v>1.3692620992660522</v>
      </c>
      <c r="E84" s="30">
        <v>0.32189443707466125</v>
      </c>
      <c r="F84" s="30">
        <v>0.53659015893936157</v>
      </c>
      <c r="G84" s="30">
        <v>3.3980637788772583E-2</v>
      </c>
      <c r="H84" s="32">
        <v>2025</v>
      </c>
    </row>
    <row r="85" spans="1:8" ht="15" hidden="1" x14ac:dyDescent="0.25">
      <c r="A85" s="31" t="s">
        <v>81</v>
      </c>
      <c r="B85" s="30">
        <v>5.3691000938415527</v>
      </c>
      <c r="C85" s="30">
        <v>1.4753087759017944</v>
      </c>
      <c r="D85" s="30">
        <v>1.2765878438949585</v>
      </c>
      <c r="E85" s="30">
        <v>0.56937772035598755</v>
      </c>
      <c r="F85" s="30">
        <v>0.57972711324691772</v>
      </c>
      <c r="G85" s="30">
        <v>1.4632130973041058E-2</v>
      </c>
      <c r="H85" s="32">
        <v>2025</v>
      </c>
    </row>
    <row r="86" spans="1:8" ht="15" hidden="1" x14ac:dyDescent="0.25">
      <c r="A86" s="31" t="s">
        <v>77</v>
      </c>
      <c r="B86" s="30">
        <v>5.3635001182556152</v>
      </c>
      <c r="C86" s="30">
        <v>1.3235404491424561</v>
      </c>
      <c r="D86" s="30">
        <v>1.1906074285507202</v>
      </c>
      <c r="E86" s="30">
        <v>0.56790047883987427</v>
      </c>
      <c r="F86" s="30">
        <v>0.24701155722141266</v>
      </c>
      <c r="G86" s="30">
        <v>0.19999629259109497</v>
      </c>
      <c r="H86" s="32">
        <v>2025</v>
      </c>
    </row>
    <row r="87" spans="1:8" ht="15" hidden="1" x14ac:dyDescent="0.25">
      <c r="A87" s="31" t="s">
        <v>145</v>
      </c>
      <c r="B87" s="30">
        <v>5.3164000511169434</v>
      </c>
      <c r="C87" s="30">
        <v>1.9087110757827759</v>
      </c>
      <c r="D87" s="30">
        <v>1.1844797134399414</v>
      </c>
      <c r="E87" s="30">
        <v>0.85731542110443115</v>
      </c>
      <c r="F87" s="30">
        <v>0.48470968008041382</v>
      </c>
      <c r="G87" s="30">
        <v>0.40161421895027161</v>
      </c>
      <c r="H87" s="32">
        <v>2025</v>
      </c>
    </row>
    <row r="88" spans="1:8" ht="15" hidden="1" x14ac:dyDescent="0.25">
      <c r="A88" s="31" t="s">
        <v>78</v>
      </c>
      <c r="B88" s="30">
        <v>5.3042001724243164</v>
      </c>
      <c r="C88" s="30">
        <v>1.4378888607025146</v>
      </c>
      <c r="D88" s="30">
        <v>0.9235725998878479</v>
      </c>
      <c r="E88" s="30">
        <v>0.63798749446868896</v>
      </c>
      <c r="F88" s="30">
        <v>0.68972975015640259</v>
      </c>
      <c r="G88" s="30">
        <v>4.8980724066495895E-2</v>
      </c>
      <c r="H88" s="32">
        <v>2025</v>
      </c>
    </row>
    <row r="89" spans="1:8" ht="15" hidden="1" x14ac:dyDescent="0.25">
      <c r="A89" s="31" t="s">
        <v>76</v>
      </c>
      <c r="B89" s="30">
        <v>5.2807002067565918</v>
      </c>
      <c r="C89" s="30"/>
      <c r="D89" s="30"/>
      <c r="E89" s="30"/>
      <c r="F89" s="30"/>
      <c r="G89" s="30"/>
      <c r="H89" s="32">
        <v>2025</v>
      </c>
    </row>
    <row r="90" spans="1:8" ht="15" hidden="1" x14ac:dyDescent="0.25">
      <c r="A90" s="31" t="s">
        <v>131</v>
      </c>
      <c r="B90" s="30">
        <v>5.2214999198913574</v>
      </c>
      <c r="C90" s="30">
        <v>0.8923410177230835</v>
      </c>
      <c r="D90" s="30">
        <v>0.6218869686126709</v>
      </c>
      <c r="E90" s="30">
        <v>0.30558526515960693</v>
      </c>
      <c r="F90" s="30">
        <v>0.52273505926132202</v>
      </c>
      <c r="G90" s="30">
        <v>0.13767823576927185</v>
      </c>
      <c r="H90" s="32">
        <v>2025</v>
      </c>
    </row>
    <row r="91" spans="1:8" ht="15" hidden="1" x14ac:dyDescent="0.25">
      <c r="A91" s="31" t="s">
        <v>91</v>
      </c>
      <c r="B91" s="30">
        <v>5.216400146484375</v>
      </c>
      <c r="C91" s="30">
        <v>0.55976742506027222</v>
      </c>
      <c r="D91" s="30">
        <v>0.88307136297225952</v>
      </c>
      <c r="E91" s="30">
        <v>0.15556660294532776</v>
      </c>
      <c r="F91" s="30">
        <v>0.72811126708984375</v>
      </c>
      <c r="G91" s="30">
        <v>0.19617113471031189</v>
      </c>
      <c r="H91" s="32">
        <v>2025</v>
      </c>
    </row>
    <row r="92" spans="1:8" ht="15" hidden="1" x14ac:dyDescent="0.25">
      <c r="A92" s="31" t="s">
        <v>84</v>
      </c>
      <c r="B92" s="30">
        <v>5.1847000122070313</v>
      </c>
      <c r="C92" s="30">
        <v>1.4669232368469238</v>
      </c>
      <c r="D92" s="30">
        <v>0.99001115560531616</v>
      </c>
      <c r="E92" s="30">
        <v>0.5243762731552124</v>
      </c>
      <c r="F92" s="30">
        <v>0.67981415987014771</v>
      </c>
      <c r="G92" s="30">
        <v>0.17428675293922424</v>
      </c>
      <c r="H92" s="32">
        <v>2025</v>
      </c>
    </row>
    <row r="93" spans="1:8" ht="15" hidden="1" x14ac:dyDescent="0.25">
      <c r="A93" s="31" t="s">
        <v>92</v>
      </c>
      <c r="B93" s="30">
        <v>5.1659998893737793</v>
      </c>
      <c r="C93" s="30">
        <v>1.2487026453018188</v>
      </c>
      <c r="D93" s="30">
        <v>0.99594837427139282</v>
      </c>
      <c r="E93" s="30">
        <v>0.49819964170455933</v>
      </c>
      <c r="F93" s="30">
        <v>0.42452463507652283</v>
      </c>
      <c r="G93" s="30">
        <v>4.7819856554269791E-2</v>
      </c>
      <c r="H93" s="32">
        <v>2025</v>
      </c>
    </row>
    <row r="94" spans="1:8" ht="15" hidden="1" x14ac:dyDescent="0.25">
      <c r="A94" s="31" t="s">
        <v>74</v>
      </c>
      <c r="B94" s="30">
        <v>5.1584000587463379</v>
      </c>
      <c r="C94" s="30">
        <v>0.96536391973495483</v>
      </c>
      <c r="D94" s="30">
        <v>0.99018365144729614</v>
      </c>
      <c r="E94" s="30">
        <v>0.44261762499809265</v>
      </c>
      <c r="F94" s="30">
        <v>0.65291428565979004</v>
      </c>
      <c r="G94" s="30">
        <v>0.1149136945605278</v>
      </c>
      <c r="H94" s="32">
        <v>2025</v>
      </c>
    </row>
    <row r="95" spans="1:8" ht="15" hidden="1" x14ac:dyDescent="0.25">
      <c r="A95" s="31" t="s">
        <v>83</v>
      </c>
      <c r="B95" s="30">
        <v>5.1388998031616211</v>
      </c>
      <c r="C95" s="30">
        <v>1.2084683179855347</v>
      </c>
      <c r="D95" s="30">
        <v>0.84629791975021362</v>
      </c>
      <c r="E95" s="30">
        <v>0.42291265726089478</v>
      </c>
      <c r="F95" s="30">
        <v>0.79646611213684082</v>
      </c>
      <c r="G95" s="30">
        <v>0.16654132306575775</v>
      </c>
      <c r="H95" s="32">
        <v>2025</v>
      </c>
    </row>
    <row r="96" spans="1:8" ht="15" hidden="1" x14ac:dyDescent="0.25">
      <c r="A96" s="31" t="s">
        <v>88</v>
      </c>
      <c r="B96" s="30">
        <v>5.106299877166748</v>
      </c>
      <c r="C96" s="30">
        <v>1.4034374952316284</v>
      </c>
      <c r="D96" s="30">
        <v>1.0376240015029907</v>
      </c>
      <c r="E96" s="30">
        <v>0.34429106116294861</v>
      </c>
      <c r="F96" s="30">
        <v>0.51581484079360962</v>
      </c>
      <c r="G96" s="30">
        <v>9.9869810044765472E-2</v>
      </c>
      <c r="H96" s="32">
        <v>2025</v>
      </c>
    </row>
    <row r="97" spans="1:8" ht="15" hidden="1" x14ac:dyDescent="0.25">
      <c r="A97" s="31" t="s">
        <v>87</v>
      </c>
      <c r="B97" s="30">
        <v>5.0801000595092773</v>
      </c>
      <c r="C97" s="30">
        <v>1.0801311731338501</v>
      </c>
      <c r="D97" s="30">
        <v>0.57763051986694336</v>
      </c>
      <c r="E97" s="30">
        <v>0.2875821590423584</v>
      </c>
      <c r="F97" s="30">
        <v>0.54695111513137817</v>
      </c>
      <c r="G97" s="30">
        <v>0.16406969726085663</v>
      </c>
      <c r="H97" s="32">
        <v>2025</v>
      </c>
    </row>
    <row r="98" spans="1:8" ht="15" hidden="1" x14ac:dyDescent="0.25">
      <c r="A98" s="31" t="s">
        <v>85</v>
      </c>
      <c r="B98" s="30">
        <v>5.0233001708984375</v>
      </c>
      <c r="C98" s="30">
        <v>0.83056735992431641</v>
      </c>
      <c r="D98" s="30">
        <v>0.62161260843276978</v>
      </c>
      <c r="E98" s="30">
        <v>0.2355300635099411</v>
      </c>
      <c r="F98" s="30">
        <v>0.52128487825393677</v>
      </c>
      <c r="G98" s="30">
        <v>0.1074468269944191</v>
      </c>
      <c r="H98" s="32">
        <v>2025</v>
      </c>
    </row>
    <row r="99" spans="1:8" ht="15" hidden="1" x14ac:dyDescent="0.25">
      <c r="A99" s="31" t="s">
        <v>132</v>
      </c>
      <c r="B99" s="30">
        <v>4.9752998352050781</v>
      </c>
      <c r="C99" s="30">
        <v>1.7015780210494995</v>
      </c>
      <c r="D99" s="30">
        <v>1.1750115156173706</v>
      </c>
      <c r="E99" s="30">
        <v>0.63106775283813477</v>
      </c>
      <c r="F99" s="30">
        <v>0.20207588374614716</v>
      </c>
      <c r="G99" s="30">
        <v>0.11476534605026245</v>
      </c>
      <c r="H99" s="32">
        <v>2025</v>
      </c>
    </row>
    <row r="100" spans="1:8" ht="15" hidden="1" x14ac:dyDescent="0.25">
      <c r="A100" s="31" t="s">
        <v>95</v>
      </c>
      <c r="B100" s="30">
        <v>4.968599796295166</v>
      </c>
      <c r="C100" s="30">
        <v>0.92735916376113892</v>
      </c>
      <c r="D100" s="30">
        <v>0.75067895650863647</v>
      </c>
      <c r="E100" s="30">
        <v>0.39214456081390381</v>
      </c>
      <c r="F100" s="30">
        <v>0.60675263404846191</v>
      </c>
      <c r="G100" s="30">
        <v>6.8683110177516937E-2</v>
      </c>
      <c r="H100" s="32">
        <v>2025</v>
      </c>
    </row>
    <row r="101" spans="1:8" ht="15" hidden="1" x14ac:dyDescent="0.25">
      <c r="A101" s="31" t="s">
        <v>94</v>
      </c>
      <c r="B101" s="30">
        <v>4.9228000640869141</v>
      </c>
      <c r="C101" s="30">
        <v>1.4351887702941895</v>
      </c>
      <c r="D101" s="30">
        <v>1.1361976861953735</v>
      </c>
      <c r="E101" s="30">
        <v>0.57078373432159424</v>
      </c>
      <c r="F101" s="30">
        <v>0.36550146341323853</v>
      </c>
      <c r="G101" s="30">
        <v>0.12344294786453247</v>
      </c>
      <c r="H101" s="32">
        <v>2025</v>
      </c>
    </row>
    <row r="102" spans="1:8" ht="15" hidden="1" x14ac:dyDescent="0.25">
      <c r="A102" s="31" t="s">
        <v>136</v>
      </c>
      <c r="B102" s="30">
        <v>4.8934001922607422</v>
      </c>
      <c r="C102" s="30">
        <v>1.4329136610031128</v>
      </c>
      <c r="D102" s="30">
        <v>0.87568622827529907</v>
      </c>
      <c r="E102" s="30">
        <v>0.49562481045722961</v>
      </c>
      <c r="F102" s="30">
        <v>0.66815066337585449</v>
      </c>
      <c r="G102" s="30">
        <v>0.19919909536838531</v>
      </c>
      <c r="H102" s="32">
        <v>2025</v>
      </c>
    </row>
    <row r="103" spans="1:8" ht="15" hidden="1" x14ac:dyDescent="0.25">
      <c r="A103" s="31" t="s">
        <v>89</v>
      </c>
      <c r="B103" s="30">
        <v>4.8807997703552246</v>
      </c>
      <c r="C103" s="30">
        <v>1.0417711734771729</v>
      </c>
      <c r="D103" s="30">
        <v>1.0754878520965576</v>
      </c>
      <c r="E103" s="30">
        <v>0.25557792186737061</v>
      </c>
      <c r="F103" s="30">
        <v>0.56580913066864014</v>
      </c>
      <c r="G103" s="30">
        <v>1.8978452309966087E-2</v>
      </c>
      <c r="H103" s="32">
        <v>2025</v>
      </c>
    </row>
    <row r="104" spans="1:8" ht="15" hidden="1" x14ac:dyDescent="0.25">
      <c r="A104" s="31" t="s">
        <v>144</v>
      </c>
      <c r="B104" s="30">
        <v>4.8794999122619629</v>
      </c>
      <c r="C104" s="30">
        <v>1.2130000000000001</v>
      </c>
      <c r="D104" s="30">
        <v>0.94199999999999995</v>
      </c>
      <c r="E104" s="30">
        <v>0.51200000000000001</v>
      </c>
      <c r="F104" s="30">
        <v>0.71299999999999997</v>
      </c>
      <c r="G104" s="30">
        <v>3.1300000000000001E-2</v>
      </c>
      <c r="H104" s="32">
        <v>2025</v>
      </c>
    </row>
    <row r="105" spans="1:8" ht="15" hidden="1" x14ac:dyDescent="0.25">
      <c r="A105" s="31" t="s">
        <v>90</v>
      </c>
      <c r="B105" s="30">
        <v>4.8744001388549805</v>
      </c>
      <c r="C105" s="30">
        <v>0.9432443380355835</v>
      </c>
      <c r="D105" s="30">
        <v>0.85600453615188599</v>
      </c>
      <c r="E105" s="30">
        <v>0.28758153319358826</v>
      </c>
      <c r="F105" s="30">
        <v>0.52122795581817627</v>
      </c>
      <c r="G105" s="30">
        <v>6.031104177236557E-2</v>
      </c>
      <c r="H105" s="32">
        <v>2025</v>
      </c>
    </row>
    <row r="106" spans="1:8" ht="15" hidden="1" x14ac:dyDescent="0.25">
      <c r="A106" s="31" t="s">
        <v>86</v>
      </c>
      <c r="B106" s="30">
        <v>4.8730001449584961</v>
      </c>
      <c r="C106" s="30">
        <v>1.3498984575271606</v>
      </c>
      <c r="D106" s="30">
        <v>1.3152741193771362</v>
      </c>
      <c r="E106" s="30">
        <v>0.51329267024993896</v>
      </c>
      <c r="F106" s="30">
        <v>0.63064908981323242</v>
      </c>
      <c r="G106" s="30">
        <v>2.5387566536664963E-2</v>
      </c>
      <c r="H106" s="32">
        <v>2025</v>
      </c>
    </row>
    <row r="107" spans="1:8" ht="15" hidden="1" x14ac:dyDescent="0.25">
      <c r="A107" s="31" t="s">
        <v>98</v>
      </c>
      <c r="B107" s="30">
        <v>4.8316998481750488</v>
      </c>
      <c r="C107" s="30">
        <v>1.2663460969924927</v>
      </c>
      <c r="D107" s="30">
        <v>1.2120418548583984</v>
      </c>
      <c r="E107" s="30">
        <v>0.3068712055683136</v>
      </c>
      <c r="F107" s="30">
        <v>0.46973705291748047</v>
      </c>
      <c r="G107" s="30">
        <v>6.1482444405555725E-2</v>
      </c>
      <c r="H107" s="32">
        <v>2025</v>
      </c>
    </row>
    <row r="108" spans="1:8" ht="15" hidden="1" x14ac:dyDescent="0.25">
      <c r="A108" s="31" t="s">
        <v>93</v>
      </c>
      <c r="B108" s="30">
        <v>4.7947001457214355</v>
      </c>
      <c r="C108" s="30">
        <v>1.2134435176849365</v>
      </c>
      <c r="D108" s="30">
        <v>0.47105264663696289</v>
      </c>
      <c r="E108" s="30">
        <v>0.49464035034179688</v>
      </c>
      <c r="F108" s="30">
        <v>0.63110250234603882</v>
      </c>
      <c r="G108" s="30">
        <v>8.1818021833896637E-2</v>
      </c>
      <c r="H108" s="32">
        <v>2025</v>
      </c>
    </row>
    <row r="109" spans="1:8" ht="15" hidden="1" x14ac:dyDescent="0.25">
      <c r="A109" s="31" t="s">
        <v>100</v>
      </c>
      <c r="B109" s="30">
        <v>4.6567001342773438</v>
      </c>
      <c r="C109" s="30">
        <v>1.0685423612594604</v>
      </c>
      <c r="D109" s="30">
        <v>0.60037744045257568</v>
      </c>
      <c r="E109" s="30">
        <v>0.32071524858474731</v>
      </c>
      <c r="F109" s="30">
        <v>0.54194521903991699</v>
      </c>
      <c r="G109" s="30">
        <v>7.3963791131973267E-2</v>
      </c>
      <c r="H109" s="32">
        <v>2025</v>
      </c>
    </row>
    <row r="110" spans="1:8" ht="15" hidden="1" x14ac:dyDescent="0.25">
      <c r="A110" s="31" t="s">
        <v>101</v>
      </c>
      <c r="B110" s="30">
        <v>4.556300163269043</v>
      </c>
      <c r="C110" s="30">
        <v>0.57284975051879883</v>
      </c>
      <c r="D110" s="30">
        <v>0.67738664150238037</v>
      </c>
      <c r="E110" s="30">
        <v>0.29313042759895325</v>
      </c>
      <c r="F110" s="30">
        <v>0.61451572179794312</v>
      </c>
      <c r="G110" s="30">
        <v>0.14679871499538422</v>
      </c>
      <c r="H110" s="32">
        <v>2025</v>
      </c>
    </row>
    <row r="111" spans="1:8" ht="15" hidden="1" x14ac:dyDescent="0.25">
      <c r="A111" s="31" t="s">
        <v>97</v>
      </c>
      <c r="B111" s="30">
        <v>4.5479998588562012</v>
      </c>
      <c r="C111" s="30">
        <v>0.75584930181503296</v>
      </c>
      <c r="D111" s="30">
        <v>0.68505561351776123</v>
      </c>
      <c r="E111" s="30">
        <v>0.27372542023658752</v>
      </c>
      <c r="F111" s="30">
        <v>0.48293918371200562</v>
      </c>
      <c r="G111" s="30">
        <v>0.17866826057434082</v>
      </c>
      <c r="H111" s="32">
        <v>2025</v>
      </c>
    </row>
    <row r="112" spans="1:8" ht="15" hidden="1" x14ac:dyDescent="0.25">
      <c r="A112" s="31" t="s">
        <v>96</v>
      </c>
      <c r="B112" s="30">
        <v>4.5050997734069824</v>
      </c>
      <c r="C112" s="30">
        <v>1.077660083770752</v>
      </c>
      <c r="D112" s="30">
        <v>0.70462977886199951</v>
      </c>
      <c r="E112" s="30">
        <v>0.40008118748664856</v>
      </c>
      <c r="F112" s="30">
        <v>0.34259742498397827</v>
      </c>
      <c r="G112" s="30">
        <v>0.1984754204750061</v>
      </c>
      <c r="H112" s="32">
        <v>2025</v>
      </c>
    </row>
    <row r="113" spans="1:8" ht="15" hidden="1" x14ac:dyDescent="0.25">
      <c r="A113" s="31" t="s">
        <v>133</v>
      </c>
      <c r="B113" s="30">
        <v>4.4848999977111816</v>
      </c>
      <c r="C113" s="30">
        <v>0.75029802322387695</v>
      </c>
      <c r="D113" s="30">
        <v>0.68383723497390747</v>
      </c>
      <c r="E113" s="30">
        <v>0.32972538471221924</v>
      </c>
      <c r="F113" s="30">
        <v>0.4585888683795929</v>
      </c>
      <c r="G113" s="30">
        <v>4.7796253114938736E-2</v>
      </c>
      <c r="H113" s="32">
        <v>2025</v>
      </c>
    </row>
    <row r="114" spans="1:8" ht="15" hidden="1" x14ac:dyDescent="0.25">
      <c r="A114" s="31" t="s">
        <v>106</v>
      </c>
      <c r="B114" s="30">
        <v>4.4713001251220703</v>
      </c>
      <c r="C114" s="30">
        <v>0.60330259799957275</v>
      </c>
      <c r="D114" s="30">
        <v>0.80541253089904785</v>
      </c>
      <c r="E114" s="30">
        <v>0.19852656126022339</v>
      </c>
      <c r="F114" s="30">
        <v>0.41112658381462097</v>
      </c>
      <c r="G114" s="30">
        <v>0.11272654682397842</v>
      </c>
      <c r="H114" s="32">
        <v>2025</v>
      </c>
    </row>
    <row r="115" spans="1:8" ht="15" hidden="1" x14ac:dyDescent="0.25">
      <c r="A115" s="31" t="s">
        <v>103</v>
      </c>
      <c r="B115" s="30">
        <v>4.4696002006530762</v>
      </c>
      <c r="C115" s="30">
        <v>1.036737322807312</v>
      </c>
      <c r="D115" s="30">
        <v>0.89535057544708252</v>
      </c>
      <c r="E115" s="30">
        <v>0.35330137610435486</v>
      </c>
      <c r="F115" s="30">
        <v>0.51859217882156372</v>
      </c>
      <c r="G115" s="30">
        <v>6.859482079744339E-2</v>
      </c>
      <c r="H115" s="32">
        <v>2025</v>
      </c>
    </row>
    <row r="116" spans="1:8" ht="15" hidden="1" x14ac:dyDescent="0.25">
      <c r="A116" s="31" t="s">
        <v>102</v>
      </c>
      <c r="B116" s="30">
        <v>4.4218001365661621</v>
      </c>
      <c r="C116" s="30">
        <v>1.3064451217651367</v>
      </c>
      <c r="D116" s="30">
        <v>0.95469146966934204</v>
      </c>
      <c r="E116" s="30">
        <v>0.57910943031311035</v>
      </c>
      <c r="F116" s="30">
        <v>0.25393915176391602</v>
      </c>
      <c r="G116" s="30">
        <v>1.8353827297687531E-2</v>
      </c>
      <c r="H116" s="32">
        <v>2025</v>
      </c>
    </row>
    <row r="117" spans="1:8" ht="15" hidden="1" x14ac:dyDescent="0.25">
      <c r="A117" s="31" t="s">
        <v>108</v>
      </c>
      <c r="B117" s="30">
        <v>4.3773999214172363</v>
      </c>
      <c r="C117" s="30">
        <v>0.9135749340057373</v>
      </c>
      <c r="D117" s="30">
        <v>0.12834492325782776</v>
      </c>
      <c r="E117" s="30">
        <v>0.28404545783996582</v>
      </c>
      <c r="F117" s="30">
        <v>0.56680840253829956</v>
      </c>
      <c r="G117" s="30">
        <v>0.25205975770950317</v>
      </c>
      <c r="H117" s="32">
        <v>2025</v>
      </c>
    </row>
    <row r="118" spans="1:8" ht="15" hidden="1" x14ac:dyDescent="0.25">
      <c r="A118" s="31" t="s">
        <v>105</v>
      </c>
      <c r="B118" s="30">
        <v>4.3716998100280762</v>
      </c>
      <c r="C118" s="30">
        <v>0.77195256948471069</v>
      </c>
      <c r="D118" s="30">
        <v>1.1507896184921265</v>
      </c>
      <c r="E118" s="30">
        <v>0.37335091829299927</v>
      </c>
      <c r="F118" s="30">
        <v>0.58744722604751587</v>
      </c>
      <c r="G118" s="30">
        <v>5.4190244525671005E-2</v>
      </c>
      <c r="H118" s="32">
        <v>2025</v>
      </c>
    </row>
    <row r="119" spans="1:8" ht="15" hidden="1" x14ac:dyDescent="0.25">
      <c r="A119" s="31" t="s">
        <v>109</v>
      </c>
      <c r="B119" s="30">
        <v>4.3544998168945313</v>
      </c>
      <c r="C119" s="30">
        <v>0.97761642932891846</v>
      </c>
      <c r="D119" s="30">
        <v>0.98811346292495728</v>
      </c>
      <c r="E119" s="30">
        <v>0.43571144342422485</v>
      </c>
      <c r="F119" s="30">
        <v>0.45041283965110779</v>
      </c>
      <c r="G119" s="30">
        <v>0.17410466074943542</v>
      </c>
      <c r="H119" s="32">
        <v>2025</v>
      </c>
    </row>
    <row r="120" spans="1:8" ht="15" hidden="1" x14ac:dyDescent="0.25">
      <c r="A120" s="31" t="s">
        <v>107</v>
      </c>
      <c r="B120" s="30">
        <v>4.3407001495361328</v>
      </c>
      <c r="C120" s="30">
        <v>1.0109834671020508</v>
      </c>
      <c r="D120" s="30">
        <v>1.0185363292694092</v>
      </c>
      <c r="E120" s="30">
        <v>0.44200488924980164</v>
      </c>
      <c r="F120" s="30">
        <v>0.86333107948303223</v>
      </c>
      <c r="G120" s="30">
        <v>7.104724645614624E-2</v>
      </c>
      <c r="H120" s="32">
        <v>2025</v>
      </c>
    </row>
    <row r="121" spans="1:8" ht="15" hidden="1" x14ac:dyDescent="0.25">
      <c r="A121" s="31" t="s">
        <v>99</v>
      </c>
      <c r="B121" s="30">
        <v>4.2894001007080078</v>
      </c>
      <c r="C121" s="30">
        <v>1.0765100717544556</v>
      </c>
      <c r="D121" s="30">
        <v>0.74714690446853638</v>
      </c>
      <c r="E121" s="30">
        <v>0.35951659083366394</v>
      </c>
      <c r="F121" s="30">
        <v>0.62322330474853516</v>
      </c>
      <c r="G121" s="30">
        <v>2.7729582041501999E-2</v>
      </c>
      <c r="H121" s="32">
        <v>2025</v>
      </c>
    </row>
    <row r="122" spans="1:8" ht="15" hidden="1" x14ac:dyDescent="0.25">
      <c r="A122" s="31" t="s">
        <v>116</v>
      </c>
      <c r="B122" s="30">
        <v>4.2685999870300293</v>
      </c>
      <c r="C122" s="30">
        <v>0.61877793073654175</v>
      </c>
      <c r="D122" s="30">
        <v>0.673256516456604</v>
      </c>
      <c r="E122" s="30">
        <v>0.30065545439720154</v>
      </c>
      <c r="F122" s="30">
        <v>0.54583978652954102</v>
      </c>
      <c r="G122" s="30">
        <v>7.4501477181911469E-2</v>
      </c>
      <c r="H122" s="32">
        <v>2025</v>
      </c>
    </row>
    <row r="123" spans="1:8" ht="15" hidden="1" x14ac:dyDescent="0.25">
      <c r="A123" s="31" t="s">
        <v>111</v>
      </c>
      <c r="B123" s="30">
        <v>4.2319998741149902</v>
      </c>
      <c r="C123" s="30">
        <v>0.7474067211151123</v>
      </c>
      <c r="D123" s="30">
        <v>0.68790453672409058</v>
      </c>
      <c r="E123" s="30">
        <v>0.26746019721031189</v>
      </c>
      <c r="F123" s="30">
        <v>0.58569979667663574</v>
      </c>
      <c r="G123" s="30">
        <v>8.9603058993816376E-2</v>
      </c>
      <c r="H123" s="32">
        <v>2025</v>
      </c>
    </row>
    <row r="124" spans="1:8" ht="15" hidden="1" x14ac:dyDescent="0.25">
      <c r="A124" s="31" t="s">
        <v>118</v>
      </c>
      <c r="B124" s="30">
        <v>4.2279000282287598</v>
      </c>
      <c r="C124" s="30">
        <v>0.6279069185256958</v>
      </c>
      <c r="D124" s="30">
        <v>0.82349097728729248</v>
      </c>
      <c r="E124" s="30">
        <v>0.33322486281394958</v>
      </c>
      <c r="F124" s="30">
        <v>0.25047516822814941</v>
      </c>
      <c r="G124" s="30">
        <v>0.12322671711444855</v>
      </c>
      <c r="H124" s="32">
        <v>2025</v>
      </c>
    </row>
    <row r="125" spans="1:8" ht="15" hidden="1" x14ac:dyDescent="0.25">
      <c r="A125" s="31" t="s">
        <v>113</v>
      </c>
      <c r="B125" s="30">
        <v>4.2140998840332031</v>
      </c>
      <c r="C125" s="30">
        <v>0.75849395990371704</v>
      </c>
      <c r="D125" s="30">
        <v>0.58610826730728149</v>
      </c>
      <c r="E125" s="30">
        <v>0.32009798288345337</v>
      </c>
      <c r="F125" s="30">
        <v>0.45263394713401794</v>
      </c>
      <c r="G125" s="30">
        <v>0.15601274371147156</v>
      </c>
      <c r="H125" s="32">
        <v>2025</v>
      </c>
    </row>
    <row r="126" spans="1:8" ht="15" hidden="1" x14ac:dyDescent="0.25">
      <c r="A126" s="31" t="s">
        <v>114</v>
      </c>
      <c r="B126" s="30">
        <v>4.1858000755310059</v>
      </c>
      <c r="C126" s="30">
        <v>1.2622883319854736</v>
      </c>
      <c r="D126" s="30">
        <v>0.98295855522155762</v>
      </c>
      <c r="E126" s="30">
        <v>0.5943453311920166</v>
      </c>
      <c r="F126" s="30">
        <v>0.59322285652160645</v>
      </c>
      <c r="G126" s="30">
        <v>0.18945163488388062</v>
      </c>
      <c r="H126" s="32">
        <v>2025</v>
      </c>
    </row>
    <row r="127" spans="1:8" ht="15" x14ac:dyDescent="0.25">
      <c r="A127" s="31" t="s">
        <v>117</v>
      </c>
      <c r="B127" s="30">
        <v>4.0541000366210938</v>
      </c>
      <c r="C127" s="30">
        <v>1.1661732196807861</v>
      </c>
      <c r="D127" s="30">
        <v>0.65266716480255127</v>
      </c>
      <c r="E127" s="30">
        <v>0.41700702905654907</v>
      </c>
      <c r="F127" s="30">
        <v>0.76659846305847168</v>
      </c>
      <c r="G127" s="30">
        <v>0.12202008068561554</v>
      </c>
      <c r="H127" s="32">
        <v>2025</v>
      </c>
    </row>
    <row r="128" spans="1:8" ht="15" hidden="1" x14ac:dyDescent="0.25">
      <c r="A128" s="31" t="s">
        <v>112</v>
      </c>
      <c r="B128" s="30">
        <v>3.9765999317169189</v>
      </c>
      <c r="C128" s="30">
        <v>1.3699750900268555</v>
      </c>
      <c r="D128" s="30">
        <v>0.99585139751434326</v>
      </c>
      <c r="E128" s="30">
        <v>0.48767942190170288</v>
      </c>
      <c r="F128" s="30">
        <v>0.48970222473144531</v>
      </c>
      <c r="G128" s="30">
        <v>0.25922113656997681</v>
      </c>
      <c r="H128" s="32">
        <v>2025</v>
      </c>
    </row>
    <row r="129" spans="1:8" ht="15" hidden="1" x14ac:dyDescent="0.25">
      <c r="A129" s="31" t="s">
        <v>104</v>
      </c>
      <c r="B129" s="30">
        <v>3.8980998992919922</v>
      </c>
      <c r="C129" s="30">
        <v>1.3609724044799805</v>
      </c>
      <c r="D129" s="30">
        <v>1.1786798238754272</v>
      </c>
      <c r="E129" s="30">
        <v>0.5860215425491333</v>
      </c>
      <c r="F129" s="30">
        <v>0.58306217193603516</v>
      </c>
      <c r="G129" s="30">
        <v>3.0845755711197853E-2</v>
      </c>
      <c r="H129" s="32">
        <v>2025</v>
      </c>
    </row>
    <row r="130" spans="1:8" ht="15" hidden="1" x14ac:dyDescent="0.25">
      <c r="A130" s="31" t="s">
        <v>110</v>
      </c>
      <c r="B130" s="30">
        <v>3.8859000205993652</v>
      </c>
      <c r="C130" s="30">
        <v>1.1216069459915161</v>
      </c>
      <c r="D130" s="30">
        <v>0.24916358292102814</v>
      </c>
      <c r="E130" s="30">
        <v>0.51332014799118042</v>
      </c>
      <c r="F130" s="30">
        <v>0.77485388517379761</v>
      </c>
      <c r="G130" s="30">
        <v>0.16744175553321838</v>
      </c>
      <c r="H130" s="32">
        <v>2025</v>
      </c>
    </row>
    <row r="131" spans="1:8" ht="15" hidden="1" x14ac:dyDescent="0.25">
      <c r="A131" s="31" t="s">
        <v>115</v>
      </c>
      <c r="B131" s="30">
        <v>3.8608999252319336</v>
      </c>
      <c r="C131" s="30">
        <v>0.79156035184860229</v>
      </c>
      <c r="D131" s="30">
        <v>0.91491889953613281</v>
      </c>
      <c r="E131" s="30">
        <v>0.41979598999023438</v>
      </c>
      <c r="F131" s="30">
        <v>0.44089117646217346</v>
      </c>
      <c r="G131" s="30">
        <v>0.1006753146648407</v>
      </c>
      <c r="H131" s="32">
        <v>2025</v>
      </c>
    </row>
    <row r="132" spans="1:8" ht="15" hidden="1" x14ac:dyDescent="0.25">
      <c r="A132" s="31" t="s">
        <v>120</v>
      </c>
      <c r="B132" s="30">
        <v>3.7806000709533691</v>
      </c>
      <c r="C132" s="30">
        <v>0.82013702392578125</v>
      </c>
      <c r="D132" s="30">
        <v>0.70603954792022705</v>
      </c>
      <c r="E132" s="30">
        <v>0.37971571087837219</v>
      </c>
      <c r="F132" s="30">
        <v>0.70925503969192505</v>
      </c>
      <c r="G132" s="30">
        <v>0.25720483064651489</v>
      </c>
      <c r="H132" s="32">
        <v>2025</v>
      </c>
    </row>
    <row r="133" spans="1:8" ht="15" hidden="1" x14ac:dyDescent="0.25">
      <c r="A133" s="31" t="s">
        <v>121</v>
      </c>
      <c r="B133" s="30">
        <v>3.5662999153137207</v>
      </c>
      <c r="C133" s="30">
        <v>0.89553189277648926</v>
      </c>
      <c r="D133" s="30">
        <v>0.32799538969993591</v>
      </c>
      <c r="E133" s="30">
        <v>0.37022033333778381</v>
      </c>
      <c r="F133" s="30">
        <v>0.17212426662445068</v>
      </c>
      <c r="G133" s="30">
        <v>0.1596972793340683</v>
      </c>
      <c r="H133" s="32">
        <v>2025</v>
      </c>
    </row>
    <row r="134" spans="1:8" ht="15" hidden="1" x14ac:dyDescent="0.25">
      <c r="A134" s="31" t="s">
        <v>137</v>
      </c>
      <c r="B134" s="30">
        <v>3.5610001087188721</v>
      </c>
      <c r="C134" s="30">
        <v>0.67127901315689087</v>
      </c>
      <c r="D134" s="30">
        <v>1.2814736366271973</v>
      </c>
      <c r="E134" s="30">
        <v>0.29267072677612305</v>
      </c>
      <c r="F134" s="30">
        <v>0.36237761378288269</v>
      </c>
      <c r="G134" s="30">
        <v>0.11316867917776108</v>
      </c>
      <c r="H134" s="32">
        <v>2025</v>
      </c>
    </row>
    <row r="135" spans="1:8" ht="15" hidden="1" x14ac:dyDescent="0.25">
      <c r="A135" s="31" t="s">
        <v>119</v>
      </c>
      <c r="B135" s="30">
        <v>3.5023999214172363</v>
      </c>
      <c r="C135" s="30">
        <v>0.89897161722183228</v>
      </c>
      <c r="D135" s="30">
        <v>0.80891859531402588</v>
      </c>
      <c r="E135" s="30">
        <v>0.26401990652084351</v>
      </c>
      <c r="F135" s="30">
        <v>0.72705924510955811</v>
      </c>
      <c r="G135" s="30">
        <v>0.10934242606163025</v>
      </c>
      <c r="H135" s="32">
        <v>2025</v>
      </c>
    </row>
    <row r="136" spans="1:8" ht="15" hidden="1" x14ac:dyDescent="0.25">
      <c r="A136" s="31" t="s">
        <v>138</v>
      </c>
      <c r="B136" s="30">
        <v>3.502000093460083</v>
      </c>
      <c r="C136" s="30">
        <v>1.2553025484085083</v>
      </c>
      <c r="D136" s="30">
        <v>0.9251137375831604</v>
      </c>
      <c r="E136" s="30">
        <v>0.175948366522789</v>
      </c>
      <c r="F136" s="30">
        <v>0.28414106369018555</v>
      </c>
      <c r="G136" s="30">
        <v>0.11585400253534317</v>
      </c>
      <c r="H136" s="32">
        <v>2025</v>
      </c>
    </row>
    <row r="137" spans="1:8" ht="15" hidden="1" x14ac:dyDescent="0.25">
      <c r="A137" s="31" t="s">
        <v>122</v>
      </c>
      <c r="B137" s="30">
        <v>3.4210000038146973</v>
      </c>
      <c r="C137" s="30">
        <v>0.61691111326217651</v>
      </c>
      <c r="D137" s="30">
        <v>0.41037529706954956</v>
      </c>
      <c r="E137" s="30">
        <v>0.34911715984344482</v>
      </c>
      <c r="F137" s="30">
        <v>0.57089245319366455</v>
      </c>
      <c r="G137" s="30">
        <v>0.13581052422523499</v>
      </c>
      <c r="H137" s="32">
        <v>2025</v>
      </c>
    </row>
    <row r="138" spans="1:8" ht="15" hidden="1" x14ac:dyDescent="0.25">
      <c r="A138" s="31" t="s">
        <v>123</v>
      </c>
      <c r="B138" s="30">
        <v>3.3833999633789063</v>
      </c>
      <c r="C138" s="30">
        <v>1.4446913003921509</v>
      </c>
      <c r="D138" s="30">
        <v>0.96861052513122559</v>
      </c>
      <c r="E138" s="30">
        <v>0.24141126871109009</v>
      </c>
      <c r="F138" s="30">
        <v>0.56670814752578735</v>
      </c>
      <c r="G138" s="30">
        <v>8.2072243094444275E-2</v>
      </c>
      <c r="H138" s="32">
        <v>2025</v>
      </c>
    </row>
    <row r="139" spans="1:8" ht="15" hidden="1" x14ac:dyDescent="0.25">
      <c r="A139" s="31" t="s">
        <v>125</v>
      </c>
      <c r="B139" s="30">
        <v>3.3410999774932861</v>
      </c>
      <c r="C139" s="30">
        <v>0.74833720922470093</v>
      </c>
      <c r="D139" s="30">
        <v>0.85008198022842407</v>
      </c>
      <c r="E139" s="30">
        <v>0.23206385970115662</v>
      </c>
      <c r="F139" s="30">
        <v>0.48692381381988525</v>
      </c>
      <c r="G139" s="30">
        <v>0.13059785962104797</v>
      </c>
      <c r="H139" s="32">
        <v>2025</v>
      </c>
    </row>
    <row r="140" spans="1:8" ht="15" hidden="1" x14ac:dyDescent="0.25">
      <c r="A140" s="31" t="s">
        <v>124</v>
      </c>
      <c r="B140" s="30">
        <v>3.2953999042510986</v>
      </c>
      <c r="C140" s="30">
        <v>0.53367000818252563</v>
      </c>
      <c r="D140" s="30">
        <v>0.66470003128051758</v>
      </c>
      <c r="E140" s="30">
        <v>0.26150763034820557</v>
      </c>
      <c r="F140" s="30">
        <v>0.47270506620407104</v>
      </c>
      <c r="G140" s="30">
        <v>7.2167113423347473E-2</v>
      </c>
      <c r="H140" s="32">
        <v>2025</v>
      </c>
    </row>
    <row r="141" spans="1:8" ht="15" hidden="1" x14ac:dyDescent="0.25">
      <c r="A141" s="31" t="s">
        <v>126</v>
      </c>
      <c r="B141" s="30">
        <v>3.2451999187469482</v>
      </c>
      <c r="C141" s="30">
        <v>0.65427839756011963</v>
      </c>
      <c r="D141" s="30">
        <v>0.56597745418548584</v>
      </c>
      <c r="E141" s="30">
        <v>0.25332081317901611</v>
      </c>
      <c r="F141" s="30">
        <v>0.46903476119041443</v>
      </c>
      <c r="G141" s="30">
        <v>5.3299028426408768E-2</v>
      </c>
      <c r="H141" s="32">
        <v>2025</v>
      </c>
    </row>
    <row r="142" spans="1:8" ht="15" hidden="1" x14ac:dyDescent="0.25">
      <c r="A142" s="31" t="s">
        <v>139</v>
      </c>
      <c r="B142" s="30">
        <v>3.1861999034881592</v>
      </c>
      <c r="C142" s="30">
        <v>0.77080661058425903</v>
      </c>
      <c r="D142" s="30">
        <v>0.85058730840682983</v>
      </c>
      <c r="E142" s="30">
        <v>0</v>
      </c>
      <c r="F142" s="30">
        <v>0.52318823337554932</v>
      </c>
      <c r="G142" s="30">
        <v>8.4968514740467072E-2</v>
      </c>
      <c r="H142" s="32">
        <v>2025</v>
      </c>
    </row>
    <row r="143" spans="1:8" ht="15" hidden="1" x14ac:dyDescent="0.25">
      <c r="A143" s="31" t="s">
        <v>127</v>
      </c>
      <c r="B143" s="30">
        <v>2.7065000534057617</v>
      </c>
      <c r="C143" s="30">
        <v>1.3767255544662476</v>
      </c>
      <c r="D143" s="30">
        <v>0.57671290636062622</v>
      </c>
      <c r="E143" s="30">
        <v>0.55624687671661377</v>
      </c>
      <c r="F143" s="30">
        <v>0.17322312295436859</v>
      </c>
      <c r="G143" s="30">
        <v>2.8772255405783653E-2</v>
      </c>
      <c r="H143" s="32">
        <v>2025</v>
      </c>
    </row>
    <row r="144" spans="1:8" ht="15" hidden="1" x14ac:dyDescent="0.25">
      <c r="A144" s="33" t="s">
        <v>128</v>
      </c>
      <c r="B144" s="34">
        <v>1.7209999561309814</v>
      </c>
      <c r="C144" s="34">
        <v>0.62813818454742432</v>
      </c>
      <c r="D144" s="34">
        <v>0</v>
      </c>
      <c r="E144" s="34">
        <v>0.24176324903964996</v>
      </c>
      <c r="F144" s="34">
        <v>0</v>
      </c>
      <c r="G144" s="34">
        <v>8.847065269947052E-2</v>
      </c>
      <c r="H144" s="35">
        <v>2025</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5996B-07B5-4544-A2B2-AF337AF7FA46}">
  <sheetPr>
    <tabColor rgb="FF4472C4"/>
  </sheetPr>
  <dimension ref="A1:P27"/>
  <sheetViews>
    <sheetView showGridLines="0" zoomScale="107" zoomScaleNormal="107" workbookViewId="0">
      <pane ySplit="4" topLeftCell="A14" activePane="bottomLeft" state="frozen"/>
      <selection pane="bottomLeft" activeCell="C12" sqref="C12"/>
    </sheetView>
  </sheetViews>
  <sheetFormatPr defaultRowHeight="13.2" x14ac:dyDescent="0.25"/>
  <cols>
    <col min="1" max="1" width="70.77734375" bestFit="1" customWidth="1"/>
    <col min="2" max="2" width="48.5546875" bestFit="1" customWidth="1"/>
    <col min="3" max="3" width="22.5546875" bestFit="1" customWidth="1"/>
    <col min="4" max="4" width="30.109375" bestFit="1" customWidth="1"/>
    <col min="5" max="5" width="15.88671875" bestFit="1" customWidth="1"/>
    <col min="6" max="6" width="33.109375" customWidth="1"/>
    <col min="7" max="7" width="14.109375" bestFit="1" customWidth="1"/>
  </cols>
  <sheetData>
    <row r="1" spans="1:16" ht="34.049999999999997" customHeight="1" x14ac:dyDescent="0.25">
      <c r="A1" s="3" t="s">
        <v>176</v>
      </c>
      <c r="B1" s="3" t="s">
        <v>177</v>
      </c>
      <c r="C1" s="3"/>
      <c r="D1" s="3"/>
      <c r="E1" s="3"/>
      <c r="F1" s="3"/>
      <c r="G1" s="3"/>
      <c r="H1" s="3"/>
      <c r="I1" s="3"/>
      <c r="J1" s="3"/>
      <c r="K1" s="3"/>
      <c r="L1" s="3"/>
      <c r="M1" s="3"/>
      <c r="N1" s="3"/>
      <c r="O1" s="3"/>
      <c r="P1" s="3"/>
    </row>
    <row r="3" spans="1:16" x14ac:dyDescent="0.25">
      <c r="A3" s="4" t="s">
        <v>178</v>
      </c>
      <c r="B3" s="4" t="s">
        <v>195</v>
      </c>
      <c r="D3" s="50" t="s">
        <v>179</v>
      </c>
      <c r="E3" s="50"/>
    </row>
    <row r="4" spans="1:16" x14ac:dyDescent="0.25">
      <c r="A4" s="28" t="s">
        <v>141</v>
      </c>
      <c r="B4" s="28" t="s">
        <v>140</v>
      </c>
      <c r="D4" s="28" t="s">
        <v>141</v>
      </c>
      <c r="E4" s="28" t="s">
        <v>140</v>
      </c>
    </row>
    <row r="5" spans="1:16" x14ac:dyDescent="0.25">
      <c r="A5" s="39" t="str" cm="1">
        <f t="array" ref="A5">IFERROR(INDEX(_xlfn._xlws.FILTER(WHR_Data[Country],WHR_Data[Visible]=1),MATCH(B5,_xlfn._xlws.FILTER(WHR_Data[Happiness Score],WHR_Data[Visible]=1),0)),"")</f>
        <v>Finland</v>
      </c>
      <c r="B5" s="40" cm="1">
        <f t="array" ref="B5">IFERROR(LARGE(_xlfn._xlws.FILTER(WHR_Data[Happiness Score],WHR_Data[Visible]=1),ROWS($B$5:B5)),"")</f>
        <v>7.7406997680664063</v>
      </c>
      <c r="D5" s="42" t="str" cm="1">
        <f t="array" ref="D5">IFERROR(INDEX(_xlfn._xlws.FILTER(WHR_Data[Country],WHR_Data[Visible]=1),MATCH(E5,_xlfn._xlws.FILTER(WHR_Data[Happiness Score],WHR_Data[Visible]=1),0)),"")</f>
        <v>Afghanistan</v>
      </c>
      <c r="E5" s="43" cm="1">
        <f t="array" ref="E5">IFERROR(SMALL(_xlfn._xlws.FILTER(WHR_Data[Happiness Score],WHR_Data[Visible]=1),ROWS($E$5:E5)),"")</f>
        <v>1.7209999561309814</v>
      </c>
    </row>
    <row r="6" spans="1:16" x14ac:dyDescent="0.25">
      <c r="A6" s="39" t="str" cm="1">
        <f t="array" ref="A6">IFERROR(INDEX(_xlfn._xlws.FILTER(WHR_Data[Country],WHR_Data[Visible]=1),MATCH(B6,_xlfn._xlws.FILTER(WHR_Data[Happiness Score],WHR_Data[Visible]=1),0)),"")</f>
        <v>Denmark</v>
      </c>
      <c r="B6" s="40" cm="1">
        <f t="array" ref="B6">IFERROR(LARGE(_xlfn._xlws.FILTER(WHR_Data[Happiness Score],WHR_Data[Visible]=1),ROWS($B$5:B6)),"")</f>
        <v>7.5826997756958008</v>
      </c>
      <c r="D6" s="42" t="str" cm="1">
        <f t="array" ref="D6">IFERROR(INDEX(_xlfn._xlws.FILTER(WHR_Data[Country],WHR_Data[Visible]=1),MATCH(E6,_xlfn._xlws.FILTER(WHR_Data[Happiness Score],WHR_Data[Visible]=1),0)),"")</f>
        <v>Lebanon</v>
      </c>
      <c r="E6" s="43" cm="1">
        <f t="array" ref="E6">IFERROR(SMALL(_xlfn._xlws.FILTER(WHR_Data[Happiness Score],WHR_Data[Visible]=1),ROWS($E$5:E6)),"")</f>
        <v>2.7065000534057617</v>
      </c>
    </row>
    <row r="7" spans="1:16" x14ac:dyDescent="0.25">
      <c r="A7" s="39" t="str" cm="1">
        <f t="array" ref="A7">IFERROR(INDEX(_xlfn._xlws.FILTER(WHR_Data[Country],WHR_Data[Visible]=1),MATCH(B7,_xlfn._xlws.FILTER(WHR_Data[Happiness Score],WHR_Data[Visible]=1),0)),"")</f>
        <v>Iceland</v>
      </c>
      <c r="B7" s="40" cm="1">
        <f t="array" ref="B7">IFERROR(LARGE(_xlfn._xlws.FILTER(WHR_Data[Happiness Score],WHR_Data[Visible]=1),ROWS($B$5:B7)),"")</f>
        <v>7.5251002311706543</v>
      </c>
      <c r="D7" s="42" t="str" cm="1">
        <f t="array" ref="D7">IFERROR(INDEX(_xlfn._xlws.FILTER(WHR_Data[Country],WHR_Data[Visible]=1),MATCH(E7,_xlfn._xlws.FILTER(WHR_Data[Happiness Score],WHR_Data[Visible]=1),0)),"")</f>
        <v>Lesotho</v>
      </c>
      <c r="E7" s="43" cm="1">
        <f t="array" ref="E7">IFERROR(SMALL(_xlfn._xlws.FILTER(WHR_Data[Happiness Score],WHR_Data[Visible]=1),ROWS($E$5:E7)),"")</f>
        <v>3.1861999034881592</v>
      </c>
    </row>
    <row r="8" spans="1:16" x14ac:dyDescent="0.25">
      <c r="A8" s="39" t="str" cm="1">
        <f t="array" ref="A8">IFERROR(INDEX(_xlfn._xlws.FILTER(WHR_Data[Country],WHR_Data[Visible]=1),MATCH(B8,_xlfn._xlws.FILTER(WHR_Data[Happiness Score],WHR_Data[Visible]=1),0)),"")</f>
        <v>Sweden</v>
      </c>
      <c r="B8" s="40" cm="1">
        <f t="array" ref="B8">IFERROR(LARGE(_xlfn._xlws.FILTER(WHR_Data[Happiness Score],WHR_Data[Visible]=1),ROWS($B$5:B8)),"")</f>
        <v>7.3440999984741211</v>
      </c>
      <c r="D8" s="42" t="str" cm="1">
        <f t="array" ref="D8">IFERROR(INDEX(_xlfn._xlws.FILTER(WHR_Data[Country],WHR_Data[Visible]=1),MATCH(E8,_xlfn._xlws.FILTER(WHR_Data[Happiness Score],WHR_Data[Visible]=1),0)),"")</f>
        <v>Sierra Leone</v>
      </c>
      <c r="E8" s="43" cm="1">
        <f t="array" ref="E8">IFERROR(SMALL(_xlfn._xlws.FILTER(WHR_Data[Happiness Score],WHR_Data[Visible]=1),ROWS($E$5:E8)),"")</f>
        <v>3.2451999187469482</v>
      </c>
    </row>
    <row r="9" spans="1:16" x14ac:dyDescent="0.25">
      <c r="A9" s="39" t="str" cm="1">
        <f t="array" ref="A9">IFERROR(INDEX(_xlfn._xlws.FILTER(WHR_Data[Country],WHR_Data[Visible]=1),MATCH(B9,_xlfn._xlws.FILTER(WHR_Data[Happiness Score],WHR_Data[Visible]=1),0)),"")</f>
        <v>Norway</v>
      </c>
      <c r="B9" s="40" cm="1">
        <f t="array" ref="B9">IFERROR(LARGE(_xlfn._xlws.FILTER(WHR_Data[Happiness Score],WHR_Data[Visible]=1),ROWS($B$5:B9)),"")</f>
        <v>7.3411002159118652</v>
      </c>
      <c r="D9" s="42" t="str" cm="1">
        <f t="array" ref="D9">IFERROR(INDEX(_xlfn._xlws.FILTER(WHR_Data[Country],WHR_Data[Visible]=1),MATCH(E9,_xlfn._xlws.FILTER(WHR_Data[Happiness Score],WHR_Data[Visible]=1),0)),"")</f>
        <v>Congo (Kinshasa)</v>
      </c>
      <c r="E9" s="43" cm="1">
        <f t="array" ref="E9">IFERROR(SMALL(_xlfn._xlws.FILTER(WHR_Data[Happiness Score],WHR_Data[Visible]=1),ROWS($E$5:E9)),"")</f>
        <v>3.2953999042510986</v>
      </c>
    </row>
    <row r="10" spans="1:16" x14ac:dyDescent="0.25">
      <c r="A10" s="39" t="str" cm="1">
        <f t="array" ref="A10">IFERROR(INDEX(_xlfn._xlws.FILTER(WHR_Data[Country],WHR_Data[Visible]=1),MATCH(B10,_xlfn._xlws.FILTER(WHR_Data[Happiness Score],WHR_Data[Visible]=1),0)),"")</f>
        <v>Netherlands</v>
      </c>
      <c r="B10" s="40" cm="1">
        <f t="array" ref="B10">IFERROR(LARGE(_xlfn._xlws.FILTER(WHR_Data[Happiness Score],WHR_Data[Visible]=1),ROWS($B$5:B10)),"")</f>
        <v>7.3193998336791992</v>
      </c>
      <c r="D10" s="42" t="str" cm="1">
        <f t="array" ref="D10">IFERROR(INDEX(_xlfn._xlws.FILTER(WHR_Data[Country],WHR_Data[Visible]=1),MATCH(E10,_xlfn._xlws.FILTER(WHR_Data[Happiness Score],WHR_Data[Visible]=1),0)),"")</f>
        <v>Zimbabwe</v>
      </c>
      <c r="E10" s="43" cm="1">
        <f t="array" ref="E10">IFERROR(SMALL(_xlfn._xlws.FILTER(WHR_Data[Happiness Score],WHR_Data[Visible]=1),ROWS($E$5:E10)),"")</f>
        <v>3.3410999774932861</v>
      </c>
    </row>
    <row r="11" spans="1:16" x14ac:dyDescent="0.25">
      <c r="A11" s="39" t="str" cm="1">
        <f t="array" ref="A11">IFERROR(INDEX(_xlfn._xlws.FILTER(WHR_Data[Country],WHR_Data[Visible]=1),MATCH(B11,_xlfn._xlws.FILTER(WHR_Data[Happiness Score],WHR_Data[Visible]=1),0)),"")</f>
        <v>Norway</v>
      </c>
      <c r="B11" s="40" cm="1">
        <f t="array" ref="B11">IFERROR(LARGE(_xlfn._xlws.FILTER(WHR_Data[Happiness Score],WHR_Data[Visible]=1),ROWS($B$5:B11)),"")</f>
        <v>7.3017001152038574</v>
      </c>
      <c r="D11" s="42" t="str" cm="1">
        <f t="array" ref="D11">IFERROR(INDEX(_xlfn._xlws.FILTER(WHR_Data[Country],WHR_Data[Visible]=1),MATCH(E11,_xlfn._xlws.FILTER(WHR_Data[Happiness Score],WHR_Data[Visible]=1),0)),"")</f>
        <v>Botswana</v>
      </c>
      <c r="E11" s="43" cm="1">
        <f t="array" ref="E11">IFERROR(SMALL(_xlfn._xlws.FILTER(WHR_Data[Happiness Score],WHR_Data[Visible]=1),ROWS($E$5:E11)),"")</f>
        <v>3.3833999633789063</v>
      </c>
    </row>
    <row r="12" spans="1:16" x14ac:dyDescent="0.25">
      <c r="A12" s="39" t="str" cm="1">
        <f t="array" ref="A12">IFERROR(INDEX(_xlfn._xlws.FILTER(WHR_Data[Country],WHR_Data[Visible]=1),MATCH(B12,_xlfn._xlws.FILTER(WHR_Data[Happiness Score],WHR_Data[Visible]=1),0)),"")</f>
        <v>Luxembourg</v>
      </c>
      <c r="B12" s="40" cm="1">
        <f t="array" ref="B12">IFERROR(LARGE(_xlfn._xlws.FILTER(WHR_Data[Happiness Score],WHR_Data[Visible]=1),ROWS($B$5:B12)),"")</f>
        <v>7.1219000816345215</v>
      </c>
      <c r="D12" s="42" t="str" cm="1">
        <f t="array" ref="D12">IFERROR(INDEX(_xlfn._xlws.FILTER(WHR_Data[Country],WHR_Data[Visible]=1),MATCH(E12,_xlfn._xlws.FILTER(WHR_Data[Happiness Score],WHR_Data[Visible]=1),0)),"")</f>
        <v>Malawi</v>
      </c>
      <c r="E12" s="43" cm="1">
        <f t="array" ref="E12">IFERROR(SMALL(_xlfn._xlws.FILTER(WHR_Data[Happiness Score],WHR_Data[Visible]=1),ROWS($E$5:E12)),"")</f>
        <v>3.4210000038146973</v>
      </c>
    </row>
    <row r="13" spans="1:16" x14ac:dyDescent="0.25">
      <c r="A13" s="39" t="str" cm="1">
        <f t="array" ref="A13">IFERROR(INDEX(_xlfn._xlws.FILTER(WHR_Data[Country],WHR_Data[Visible]=1),MATCH(B13,_xlfn._xlws.FILTER(WHR_Data[Happiness Score],WHR_Data[Visible]=1),0)),"")</f>
        <v>Switzerland</v>
      </c>
      <c r="B13" s="40" cm="1">
        <f t="array" ref="B13">IFERROR(LARGE(_xlfn._xlws.FILTER(WHR_Data[Happiness Score],WHR_Data[Visible]=1),ROWS($B$5:B13)),"")</f>
        <v>7.0602002143859863</v>
      </c>
      <c r="D13" s="42" t="str" cm="1">
        <f t="array" ref="D13">IFERROR(INDEX(_xlfn._xlws.FILTER(WHR_Data[Country],WHR_Data[Visible]=1),MATCH(E13,_xlfn._xlws.FILTER(WHR_Data[Happiness Score],WHR_Data[Visible]=1),0)),"")</f>
        <v>Eswatini</v>
      </c>
      <c r="E13" s="43" cm="1">
        <f t="array" ref="E13">IFERROR(SMALL(_xlfn._xlws.FILTER(WHR_Data[Happiness Score],WHR_Data[Visible]=1),ROWS($E$5:E13)),"")</f>
        <v>3.502000093460083</v>
      </c>
    </row>
    <row r="14" spans="1:16" x14ac:dyDescent="0.25">
      <c r="A14" s="39" t="str" cm="1">
        <f t="array" ref="A14">IFERROR(INDEX(_xlfn._xlws.FILTER(WHR_Data[Country],WHR_Data[Visible]=1),MATCH(B14,_xlfn._xlws.FILTER(WHR_Data[Happiness Score],WHR_Data[Visible]=1),0)),"")</f>
        <v>Australia</v>
      </c>
      <c r="B14" s="40" cm="1">
        <f t="array" ref="B14">IFERROR(LARGE(_xlfn._xlws.FILTER(WHR_Data[Happiness Score],WHR_Data[Visible]=1),ROWS($B$5:B14)),"")</f>
        <v>7.0569000244140625</v>
      </c>
      <c r="D14" s="42" t="str" cm="1">
        <f t="array" ref="D14">IFERROR(INDEX(_xlfn._xlws.FILTER(WHR_Data[Country],WHR_Data[Visible]=1),MATCH(E14,_xlfn._xlws.FILTER(WHR_Data[Happiness Score],WHR_Data[Visible]=1),0)),"")</f>
        <v>Zambia</v>
      </c>
      <c r="E14" s="43" cm="1">
        <f t="array" ref="E14">IFERROR(SMALL(_xlfn._xlws.FILTER(WHR_Data[Happiness Score],WHR_Data[Visible]=1),ROWS($E$5:E14)),"")</f>
        <v>3.5023999214172363</v>
      </c>
    </row>
    <row r="17" spans="1:7" x14ac:dyDescent="0.25">
      <c r="A17" s="28" t="s">
        <v>150</v>
      </c>
      <c r="B17" s="28" t="s">
        <v>167</v>
      </c>
      <c r="C17" s="28" t="s">
        <v>180</v>
      </c>
      <c r="D17" s="28" t="s">
        <v>169</v>
      </c>
      <c r="F17" s="28" t="s">
        <v>150</v>
      </c>
      <c r="G17" s="28" t="s">
        <v>181</v>
      </c>
    </row>
    <row r="18" spans="1:7" x14ac:dyDescent="0.25">
      <c r="A18" s="29" t="s">
        <v>152</v>
      </c>
      <c r="B18" s="41">
        <f>IFERROR(AVERAGEIFS(WHR_Data[Happiness Score],WHR_Data[Region],$A18,WHR_Data[Visible],1),"")</f>
        <v>6.8653238160269598</v>
      </c>
      <c r="C18" s="41">
        <f>IFERROR(AVERAGEIFS(WHR_Data[GDP per Capita],WHR_Data[Region],$A18,WHR_Data[Visible],1),"")</f>
        <v>1.8699819360460554</v>
      </c>
      <c r="D18" s="41">
        <f>IFERROR(AVERAGEIFS(WHR_Data[Healthy Life Expectancy],WHR_Data[Region],$A18,WHR_Data[Visible],1),"")</f>
        <v>0.71057393721171791</v>
      </c>
      <c r="F18" s="29" t="s">
        <v>152</v>
      </c>
      <c r="G18" s="44" cm="1">
        <f t="array" ref="G18">IFERROR(ROWS(_xlfn.UNIQUE(_xlfn._xlws.FILTER(WHR_Data[Country],(WHR_Data[Visible]=1)*(WHR_Data[Region]=$F18)))),0)</f>
        <v>20</v>
      </c>
    </row>
    <row r="19" spans="1:7" x14ac:dyDescent="0.25">
      <c r="A19" s="29" t="s">
        <v>156</v>
      </c>
      <c r="B19" s="41">
        <f>IFERROR(AVERAGEIFS(WHR_Data[Happiness Score],WHR_Data[Region],$A19,WHR_Data[Visible],1),"")</f>
        <v>6.083921056044729</v>
      </c>
      <c r="C19" s="41">
        <f>IFERROR(AVERAGEIFS(WHR_Data[GDP per Capita],WHR_Data[Region],$A19,WHR_Data[Visible],1),"")</f>
        <v>1.6092749332126819</v>
      </c>
      <c r="D19" s="41">
        <f>IFERROR(AVERAGEIFS(WHR_Data[Healthy Life Expectancy],WHR_Data[Region],$A19,WHR_Data[Visible],1),"")</f>
        <v>0.6017297380848935</v>
      </c>
      <c r="F19" s="29" t="s">
        <v>156</v>
      </c>
      <c r="G19" s="44" cm="1">
        <f t="array" ref="G19">IFERROR(ROWS(_xlfn.UNIQUE(_xlfn._xlws.FILTER(WHR_Data[Country],(WHR_Data[Visible]=1)*(WHR_Data[Region]=$F19)))),0)</f>
        <v>19</v>
      </c>
    </row>
    <row r="20" spans="1:7" x14ac:dyDescent="0.25">
      <c r="A20" s="29" t="s">
        <v>153</v>
      </c>
      <c r="B20" s="41">
        <f>IFERROR(AVERAGEIFS(WHR_Data[Happiness Score],WHR_Data[Region],$A20,WHR_Data[Visible],1),"")</f>
        <v>6.9276250600814819</v>
      </c>
      <c r="C20" s="41">
        <f>IFERROR(AVERAGEIFS(WHR_Data[GDP per Capita],WHR_Data[Region],$A20,WHR_Data[Visible],1),"")</f>
        <v>1.8607977628707886</v>
      </c>
      <c r="D20" s="41">
        <f>IFERROR(AVERAGEIFS(WHR_Data[Healthy Life Expectancy],WHR_Data[Region],$A20,WHR_Data[Visible],1),"")</f>
        <v>0.65201546251773834</v>
      </c>
      <c r="F20" s="29" t="s">
        <v>153</v>
      </c>
      <c r="G20" s="44" cm="1">
        <f t="array" ref="G20">IFERROR(ROWS(_xlfn.UNIQUE(_xlfn._xlws.FILTER(WHR_Data[Country],(WHR_Data[Visible]=1)*(WHR_Data[Region]=$F20)))),0)</f>
        <v>4</v>
      </c>
    </row>
    <row r="21" spans="1:7" x14ac:dyDescent="0.25">
      <c r="A21" s="29" t="s">
        <v>154</v>
      </c>
      <c r="B21" s="41">
        <f>IFERROR(AVERAGEIFS(WHR_Data[Happiness Score],WHR_Data[Region],$A21,WHR_Data[Visible],1),"")</f>
        <v>6.143368394751298</v>
      </c>
      <c r="C21" s="41">
        <f>IFERROR(AVERAGEIFS(WHR_Data[GDP per Capita],WHR_Data[Region],$A21,WHR_Data[Visible],1),"")</f>
        <v>1.3281065727535046</v>
      </c>
      <c r="D21" s="41">
        <f>IFERROR(AVERAGEIFS(WHR_Data[Healthy Life Expectancy],WHR_Data[Region],$A21,WHR_Data[Visible],1),"")</f>
        <v>0.57109160486020538</v>
      </c>
      <c r="F21" s="29" t="s">
        <v>154</v>
      </c>
      <c r="G21" s="44" cm="1">
        <f t="array" ref="G21">IFERROR(ROWS(_xlfn.UNIQUE(_xlfn._xlws.FILTER(WHR_Data[Country],(WHR_Data[Visible]=1)*(WHR_Data[Region]=$F21)))),0)</f>
        <v>19</v>
      </c>
    </row>
    <row r="22" spans="1:7" x14ac:dyDescent="0.25">
      <c r="A22" s="29" t="s">
        <v>155</v>
      </c>
      <c r="B22" s="41">
        <f>IFERROR(AVERAGEIFS(WHR_Data[Happiness Score],WHR_Data[Region],$A22,WHR_Data[Visible],1),"")</f>
        <v>5.0660562515258789</v>
      </c>
      <c r="C22" s="41">
        <f>IFERROR(AVERAGEIFS(WHR_Data[GDP per Capita],WHR_Data[Region],$A22,WHR_Data[Visible],1),"")</f>
        <v>1.4212274869600932</v>
      </c>
      <c r="D22" s="41">
        <f>IFERROR(AVERAGEIFS(WHR_Data[Healthy Life Expectancy],WHR_Data[Region],$A22,WHR_Data[Visible],1),"")</f>
        <v>0.53795556462605798</v>
      </c>
      <c r="F22" s="29" t="s">
        <v>155</v>
      </c>
      <c r="G22" s="44" cm="1">
        <f t="array" ref="G22">IFERROR(ROWS(_xlfn.UNIQUE(_xlfn._xlws.FILTER(WHR_Data[Country],(WHR_Data[Visible]=1)*(WHR_Data[Region]=$F22)))),0)</f>
        <v>16</v>
      </c>
    </row>
    <row r="23" spans="1:7" x14ac:dyDescent="0.25">
      <c r="A23" s="29" t="s">
        <v>158</v>
      </c>
      <c r="B23" s="41">
        <f>IFERROR(AVERAGEIFS(WHR_Data[Happiness Score],WHR_Data[Region],$A23,WHR_Data[Visible],1),"")</f>
        <v>5.9344166914621992</v>
      </c>
      <c r="C23" s="41">
        <f>IFERROR(AVERAGEIFS(WHR_Data[GDP per Capita],WHR_Data[Region],$A23,WHR_Data[Visible],1),"")</f>
        <v>1.7000917792320251</v>
      </c>
      <c r="D23" s="41">
        <f>IFERROR(AVERAGEIFS(WHR_Data[Healthy Life Expectancy],WHR_Data[Region],$A23,WHR_Data[Visible],1),"")</f>
        <v>0.68180699149767554</v>
      </c>
      <c r="F23" s="29" t="s">
        <v>158</v>
      </c>
      <c r="G23" s="44" cm="1">
        <f t="array" ref="G23">IFERROR(ROWS(_xlfn.UNIQUE(_xlfn._xlws.FILTER(WHR_Data[Country],(WHR_Data[Visible]=1)*(WHR_Data[Region]=$F23)))),0)</f>
        <v>6</v>
      </c>
    </row>
    <row r="24" spans="1:7" x14ac:dyDescent="0.25">
      <c r="A24" s="29" t="s">
        <v>157</v>
      </c>
      <c r="B24" s="41">
        <f>IFERROR(AVERAGEIFS(WHR_Data[Happiness Score],WHR_Data[Region],$A24,WHR_Data[Visible],1),"")</f>
        <v>5.5518999629550514</v>
      </c>
      <c r="C24" s="41">
        <f>IFERROR(AVERAGEIFS(WHR_Data[GDP per Capita],WHR_Data[Region],$A24,WHR_Data[Visible],1),"")</f>
        <v>1.3743533955679998</v>
      </c>
      <c r="D24" s="41">
        <f>IFERROR(AVERAGEIFS(WHR_Data[Healthy Life Expectancy],WHR_Data[Region],$A24,WHR_Data[Visible],1),"")</f>
        <v>0.5201100872622596</v>
      </c>
      <c r="F24" s="29" t="s">
        <v>157</v>
      </c>
      <c r="G24" s="44" cm="1">
        <f t="array" ref="G24">IFERROR(ROWS(_xlfn.UNIQUE(_xlfn._xlws.FILTER(WHR_Data[Country],(WHR_Data[Visible]=1)*(WHR_Data[Region]=$F24)))),0)</f>
        <v>9</v>
      </c>
    </row>
    <row r="25" spans="1:7" x14ac:dyDescent="0.25">
      <c r="A25" s="29" t="s">
        <v>161</v>
      </c>
      <c r="B25" s="41">
        <f>IFERROR(AVERAGEIFS(WHR_Data[Happiness Score],WHR_Data[Region],$A25,WHR_Data[Visible],1),"")</f>
        <v>3.8957000176111856</v>
      </c>
      <c r="C25" s="41">
        <f>IFERROR(AVERAGEIFS(WHR_Data[GDP per Capita],WHR_Data[Region],$A25,WHR_Data[Visible],1),"")</f>
        <v>1.0517995059490204</v>
      </c>
      <c r="D25" s="41">
        <f>IFERROR(AVERAGEIFS(WHR_Data[Healthy Life Expectancy],WHR_Data[Region],$A25,WHR_Data[Visible],1),"")</f>
        <v>0.42024080703655881</v>
      </c>
      <c r="F25" s="29" t="s">
        <v>161</v>
      </c>
      <c r="G25" s="44" cm="1">
        <f t="array" ref="G25">IFERROR(ROWS(_xlfn.UNIQUE(_xlfn._xlws.FILTER(WHR_Data[Country],(WHR_Data[Visible]=1)*(WHR_Data[Region]=$F25)))),0)</f>
        <v>6</v>
      </c>
    </row>
    <row r="26" spans="1:7" x14ac:dyDescent="0.25">
      <c r="A26" s="29" t="s">
        <v>159</v>
      </c>
      <c r="B26" s="41">
        <f>IFERROR(AVERAGEIFS(WHR_Data[Happiness Score],WHR_Data[Region],$A26,WHR_Data[Visible],1),"")</f>
        <v>5.5868750214576721</v>
      </c>
      <c r="C26" s="41">
        <f>IFERROR(AVERAGEIFS(WHR_Data[GDP per Capita],WHR_Data[Region],$A26,WHR_Data[Visible],1),"")</f>
        <v>1.4105830533163888</v>
      </c>
      <c r="D26" s="41">
        <f>IFERROR(AVERAGEIFS(WHR_Data[Healthy Life Expectancy],WHR_Data[Region],$A26,WHR_Data[Visible],1),"")</f>
        <v>0.54819391880716595</v>
      </c>
      <c r="F26" s="29" t="s">
        <v>159</v>
      </c>
      <c r="G26" s="44" cm="1">
        <f t="array" ref="G26">IFERROR(ROWS(_xlfn.UNIQUE(_xlfn._xlws.FILTER(WHR_Data[Country],(WHR_Data[Visible]=1)*(WHR_Data[Region]=$F26)))),0)</f>
        <v>8</v>
      </c>
    </row>
    <row r="27" spans="1:7" x14ac:dyDescent="0.25">
      <c r="A27" s="29" t="s">
        <v>160</v>
      </c>
      <c r="B27" s="41">
        <f>IFERROR(AVERAGEIFS(WHR_Data[Happiness Score],WHR_Data[Region],$A27,WHR_Data[Visible],1),"")</f>
        <v>4.3297799723488941</v>
      </c>
      <c r="C27" s="41">
        <f>IFERROR(AVERAGEIFS(WHR_Data[GDP per Capita],WHR_Data[Region],$A27,WHR_Data[Visible],1),"")</f>
        <v>0.90417170524597168</v>
      </c>
      <c r="D27" s="41">
        <f>IFERROR(AVERAGEIFS(WHR_Data[Healthy Life Expectancy],WHR_Data[Region],$A27,WHR_Data[Visible],1),"")</f>
        <v>0.29760954635483877</v>
      </c>
      <c r="F27" s="29" t="s">
        <v>160</v>
      </c>
      <c r="G27" s="44" cm="1">
        <f t="array" ref="G27">IFERROR(ROWS(_xlfn.UNIQUE(_xlfn._xlws.FILTER(WHR_Data[Country],(WHR_Data[Visible]=1)*(WHR_Data[Region]=$F27)))),0)</f>
        <v>35</v>
      </c>
    </row>
  </sheetData>
  <mergeCells count="1">
    <mergeCell ref="D3:E3"/>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D7819-7240-4B36-BD5F-03F656589412}">
  <sheetPr>
    <tabColor rgb="FF4472C4"/>
  </sheetPr>
  <dimension ref="A1:P8"/>
  <sheetViews>
    <sheetView showGridLines="0" workbookViewId="0">
      <selection activeCell="B13" sqref="B13"/>
    </sheetView>
  </sheetViews>
  <sheetFormatPr defaultRowHeight="13.2" x14ac:dyDescent="0.25"/>
  <cols>
    <col min="1" max="1" width="58.33203125" bestFit="1" customWidth="1"/>
    <col min="2" max="2" width="42.33203125" bestFit="1" customWidth="1"/>
    <col min="4" max="4" width="62.109375" bestFit="1" customWidth="1"/>
  </cols>
  <sheetData>
    <row r="1" spans="1:16" ht="34.049999999999997" customHeight="1" x14ac:dyDescent="0.25">
      <c r="A1" s="3" t="s">
        <v>162</v>
      </c>
      <c r="B1" s="3" t="s">
        <v>163</v>
      </c>
      <c r="C1" s="3"/>
      <c r="D1" s="3"/>
      <c r="E1" s="3"/>
      <c r="F1" s="3"/>
      <c r="G1" s="3"/>
      <c r="H1" s="3"/>
      <c r="I1" s="3"/>
      <c r="J1" s="3"/>
      <c r="K1" s="3"/>
      <c r="L1" s="3"/>
      <c r="M1" s="3"/>
      <c r="N1" s="3"/>
      <c r="O1" s="3"/>
      <c r="P1" s="3"/>
    </row>
    <row r="3" spans="1:16" ht="15.6" x14ac:dyDescent="0.3">
      <c r="A3" s="45" t="s">
        <v>164</v>
      </c>
      <c r="B3" s="46" cm="1">
        <f t="array" ref="B3">IFERROR(ROWS(_xlfn.UNIQUE(_xlfn._xlws.FILTER(WHR_Data[Country],WHR_Data[Visible]=1))),0)</f>
        <v>142</v>
      </c>
      <c r="D3" s="4" t="s">
        <v>170</v>
      </c>
      <c r="E3" s="4"/>
      <c r="F3" s="4"/>
    </row>
    <row r="4" spans="1:16" ht="15.6" x14ac:dyDescent="0.3">
      <c r="A4" s="45" t="s">
        <v>165</v>
      </c>
      <c r="B4" s="47">
        <f>IFERROR(_xlfn.MAXIFS(WHR_Data[Happiness Score],WHR_Data[Visible],1),0)</f>
        <v>7.7406997680664063</v>
      </c>
      <c r="D4" s="5" t="s">
        <v>171</v>
      </c>
      <c r="E4" s="5"/>
      <c r="F4" s="5"/>
    </row>
    <row r="5" spans="1:16" ht="15.6" x14ac:dyDescent="0.3">
      <c r="A5" s="45" t="s">
        <v>166</v>
      </c>
      <c r="B5" s="47">
        <f>IFERROR(_xlfn.MINIFS(WHR_Data[Happiness Score],WHR_Data[Visible],1),0)</f>
        <v>1.7209999561309814</v>
      </c>
      <c r="D5" s="5" t="s">
        <v>172</v>
      </c>
      <c r="E5" s="5"/>
      <c r="F5" s="5"/>
    </row>
    <row r="6" spans="1:16" ht="15.6" x14ac:dyDescent="0.3">
      <c r="A6" s="45" t="s">
        <v>167</v>
      </c>
      <c r="B6" s="47">
        <f>IFERROR(AVERAGEIFS(WHR_Data[Happiness Score],WHR_Data[Visible],1),0)</f>
        <v>5.5275720216177557</v>
      </c>
      <c r="D6" s="5" t="s">
        <v>173</v>
      </c>
      <c r="E6" s="5"/>
      <c r="F6" s="5"/>
    </row>
    <row r="7" spans="1:16" ht="15.6" x14ac:dyDescent="0.3">
      <c r="A7" s="45" t="s">
        <v>168</v>
      </c>
      <c r="B7" s="47">
        <f>IFERROR(_xlfn.MAXIFS(WHR_Data[GDP per Capita],WHR_Data[Visible],1),0)</f>
        <v>2.1405189037322998</v>
      </c>
      <c r="D7" s="5" t="s">
        <v>174</v>
      </c>
      <c r="E7" s="5"/>
      <c r="F7" s="5"/>
    </row>
    <row r="8" spans="1:16" ht="15.6" x14ac:dyDescent="0.3">
      <c r="A8" s="45" t="s">
        <v>169</v>
      </c>
      <c r="B8" s="47">
        <f>IFERROR(AVERAGEIFS(WHR_Data[Healthy Life Expectancy],WHR_Data[Visible],1),0)</f>
        <v>0.52078030246453932</v>
      </c>
      <c r="D8" s="5" t="s">
        <v>175</v>
      </c>
      <c r="E8" s="5"/>
      <c r="F8" s="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86897-224E-451E-86DB-8943E3C99486}">
  <sheetPr>
    <tabColor rgb="FF4472C4"/>
  </sheetPr>
  <dimension ref="A1:X144"/>
  <sheetViews>
    <sheetView showGridLines="0" topLeftCell="A46" zoomScale="98" zoomScaleNormal="98" workbookViewId="0">
      <selection activeCell="K24" sqref="K24"/>
    </sheetView>
  </sheetViews>
  <sheetFormatPr defaultRowHeight="13.2" x14ac:dyDescent="0.25"/>
  <cols>
    <col min="1" max="1" width="61.6640625" bestFit="1" customWidth="1"/>
    <col min="18" max="18" width="22.109375" bestFit="1" customWidth="1"/>
    <col min="19" max="19" width="14.6640625" bestFit="1" customWidth="1"/>
    <col min="20" max="20" width="15.88671875" bestFit="1" customWidth="1"/>
    <col min="22" max="22" width="22.109375" bestFit="1" customWidth="1"/>
    <col min="23" max="23" width="14" bestFit="1" customWidth="1"/>
    <col min="24" max="24" width="15.88671875" bestFit="1" customWidth="1"/>
  </cols>
  <sheetData>
    <row r="1" spans="1:24" ht="34.049999999999997" customHeight="1" x14ac:dyDescent="0.25">
      <c r="A1" s="3" t="s">
        <v>182</v>
      </c>
      <c r="B1" s="3" t="s">
        <v>183</v>
      </c>
      <c r="C1" s="3"/>
      <c r="D1" s="3"/>
      <c r="E1" s="3"/>
      <c r="F1" s="3"/>
      <c r="G1" s="3"/>
      <c r="H1" s="3"/>
      <c r="I1" s="3"/>
      <c r="J1" s="3"/>
      <c r="K1" s="3"/>
      <c r="L1" s="3"/>
      <c r="M1" s="3"/>
      <c r="N1" s="3"/>
      <c r="O1" s="3"/>
      <c r="P1" s="3"/>
      <c r="R1" s="28" t="s">
        <v>141</v>
      </c>
      <c r="S1" s="28" t="s">
        <v>147</v>
      </c>
      <c r="T1" s="28" t="s">
        <v>140</v>
      </c>
      <c r="V1" s="28" t="s">
        <v>141</v>
      </c>
      <c r="W1" s="28" t="s">
        <v>142</v>
      </c>
      <c r="X1" s="28" t="s">
        <v>140</v>
      </c>
    </row>
    <row r="2" spans="1:24" x14ac:dyDescent="0.25">
      <c r="R2" s="29" t="str" cm="1">
        <f t="array" ref="R2:T144">IFERROR(_xlfn.SORTBY(_xlfn._xlws.FILTER(CHOOSE({1,2,3},WHR_Data[Country],WHR_Data[GDP per Capita],WHR_Data[Happiness Score]),WHR_Data[Visible]=1),_xlfn._xlws.FILTER(WHR_Data[GDP per Capita],WHR_Data[Visible]=1),1),"")</f>
        <v>Venezuela</v>
      </c>
      <c r="S2" s="29">
        <v>0</v>
      </c>
      <c r="T2" s="29">
        <v>5.6066999435424805</v>
      </c>
      <c r="V2" s="29" t="str" cm="1">
        <f t="array" ref="V2:X144">IFERROR(_xlfn.SORTBY(_xlfn._xlws.FILTER(CHOOSE({1,2,3},WHR_Data[Country],WHR_Data[Social Support],WHR_Data[Happiness Score]),WHR_Data[Visible]=1),_xlfn._xlws.FILTER(WHR_Data[Social Support],WHR_Data[Visible]=1),1),"")</f>
        <v>Afghanistan</v>
      </c>
      <c r="W2" s="29">
        <v>0</v>
      </c>
      <c r="X2" s="29">
        <v>1.7209999561309814</v>
      </c>
    </row>
    <row r="3" spans="1:24" x14ac:dyDescent="0.25">
      <c r="R3" s="29" t="str">
        <v>Congo (Kinshasa)</v>
      </c>
      <c r="S3" s="29">
        <v>0.53367000818252563</v>
      </c>
      <c r="T3" s="29">
        <v>3.2953999042510986</v>
      </c>
      <c r="V3" s="29" t="str">
        <v>Benin</v>
      </c>
      <c r="W3" s="29">
        <v>0.12834492325782776</v>
      </c>
      <c r="X3" s="29">
        <v>4.3773999214172363</v>
      </c>
    </row>
    <row r="4" spans="1:24" x14ac:dyDescent="0.25">
      <c r="R4" s="29" t="str">
        <v>Mozambique</v>
      </c>
      <c r="S4" s="29">
        <v>0.55976742506027222</v>
      </c>
      <c r="T4" s="29">
        <v>5.216400146484375</v>
      </c>
      <c r="V4" s="29" t="str">
        <v>Bangladesh</v>
      </c>
      <c r="W4" s="29">
        <v>0.24916358292102814</v>
      </c>
      <c r="X4" s="29">
        <v>3.8859000205993652</v>
      </c>
    </row>
    <row r="5" spans="1:24" x14ac:dyDescent="0.25">
      <c r="R5" s="29" t="str">
        <v>Niger</v>
      </c>
      <c r="S5" s="29">
        <v>0.57284975051879883</v>
      </c>
      <c r="T5" s="29">
        <v>4.556300163269043</v>
      </c>
      <c r="V5" s="29" t="str">
        <v>Comoros</v>
      </c>
      <c r="W5" s="29">
        <v>0.32799538969993591</v>
      </c>
      <c r="X5" s="29">
        <v>3.5662999153137207</v>
      </c>
    </row>
    <row r="6" spans="1:24" x14ac:dyDescent="0.25">
      <c r="R6" s="29" t="str">
        <v>Chad</v>
      </c>
      <c r="S6" s="29">
        <v>0.60330259799957275</v>
      </c>
      <c r="T6" s="29">
        <v>4.4713001251220703</v>
      </c>
      <c r="V6" s="29" t="str">
        <v>Malawi</v>
      </c>
      <c r="W6" s="29">
        <v>0.41037529706954956</v>
      </c>
      <c r="X6" s="29">
        <v>3.4210000038146973</v>
      </c>
    </row>
    <row r="7" spans="1:24" x14ac:dyDescent="0.25">
      <c r="R7" s="29" t="str">
        <v>Malawi</v>
      </c>
      <c r="S7" s="29">
        <v>0.61691111326217651</v>
      </c>
      <c r="T7" s="29">
        <v>3.4210000038146973</v>
      </c>
      <c r="V7" s="29" t="str">
        <v>Morocco</v>
      </c>
      <c r="W7" s="29">
        <v>0.47105264663696289</v>
      </c>
      <c r="X7" s="29">
        <v>4.7947001457214355</v>
      </c>
    </row>
    <row r="8" spans="1:24" x14ac:dyDescent="0.25">
      <c r="R8" s="29" t="str">
        <v>Liberia</v>
      </c>
      <c r="S8" s="29">
        <v>0.61877793073654175</v>
      </c>
      <c r="T8" s="29">
        <v>4.2685999870300293</v>
      </c>
      <c r="V8" s="29" t="str">
        <v>Sierra Leone</v>
      </c>
      <c r="W8" s="29">
        <v>0.56597745418548584</v>
      </c>
      <c r="X8" s="29">
        <v>3.2451999187469482</v>
      </c>
    </row>
    <row r="9" spans="1:24" x14ac:dyDescent="0.25">
      <c r="R9" s="29" t="str">
        <v>Madagascar</v>
      </c>
      <c r="S9" s="29">
        <v>0.6279069185256958</v>
      </c>
      <c r="T9" s="29">
        <v>4.2279000282287598</v>
      </c>
      <c r="V9" s="29" t="str">
        <v>Lebanon</v>
      </c>
      <c r="W9" s="29">
        <v>0.57671290636062622</v>
      </c>
      <c r="X9" s="29">
        <v>2.7065000534057617</v>
      </c>
    </row>
    <row r="10" spans="1:24" x14ac:dyDescent="0.25">
      <c r="R10" s="29" t="str">
        <v>Afghanistan</v>
      </c>
      <c r="S10" s="29">
        <v>0.62813818454742432</v>
      </c>
      <c r="T10" s="29">
        <v>1.7209999561309814</v>
      </c>
      <c r="V10" s="29" t="str">
        <v>Ivory Coast</v>
      </c>
      <c r="W10" s="29">
        <v>0.57763051986694336</v>
      </c>
      <c r="X10" s="29">
        <v>5.0801000595092773</v>
      </c>
    </row>
    <row r="11" spans="1:24" x14ac:dyDescent="0.25">
      <c r="R11" s="29" t="str">
        <v>Sierra Leone</v>
      </c>
      <c r="S11" s="29">
        <v>0.65427839756011963</v>
      </c>
      <c r="T11" s="29">
        <v>3.2451999187469482</v>
      </c>
      <c r="V11" s="29" t="str">
        <v>Togo</v>
      </c>
      <c r="W11" s="29">
        <v>0.58610826730728149</v>
      </c>
      <c r="X11" s="29">
        <v>4.2140998840332031</v>
      </c>
    </row>
    <row r="12" spans="1:24" x14ac:dyDescent="0.25">
      <c r="R12" s="29" t="str">
        <v>Yemen</v>
      </c>
      <c r="S12" s="29">
        <v>0.67127901315689087</v>
      </c>
      <c r="T12" s="29">
        <v>3.5610001087188721</v>
      </c>
      <c r="V12" s="29" t="str">
        <v>Pakistan</v>
      </c>
      <c r="W12" s="29">
        <v>0.60037744045257568</v>
      </c>
      <c r="X12" s="29">
        <v>4.6567001342773438</v>
      </c>
    </row>
    <row r="13" spans="1:24" x14ac:dyDescent="0.25">
      <c r="R13" s="29" t="str">
        <v>Mali</v>
      </c>
      <c r="S13" s="29">
        <v>0.7474067211151123</v>
      </c>
      <c r="T13" s="29">
        <v>4.2319998741149902</v>
      </c>
      <c r="V13" s="29" t="str">
        <v>Guinea</v>
      </c>
      <c r="W13" s="29">
        <v>0.62161260843276978</v>
      </c>
      <c r="X13" s="29">
        <v>5.0233001708984375</v>
      </c>
    </row>
    <row r="14" spans="1:24" x14ac:dyDescent="0.25">
      <c r="R14" s="29" t="str">
        <v>Zimbabwe</v>
      </c>
      <c r="S14" s="29">
        <v>0.74833720922470093</v>
      </c>
      <c r="T14" s="29">
        <v>3.3410999774932861</v>
      </c>
      <c r="V14" s="29" t="str">
        <v>Congo (Brazzaville)</v>
      </c>
      <c r="W14" s="29">
        <v>0.6218869686126709</v>
      </c>
      <c r="X14" s="29">
        <v>5.2214999198913574</v>
      </c>
    </row>
    <row r="15" spans="1:24" x14ac:dyDescent="0.25">
      <c r="R15" s="29" t="str">
        <v>Gambia</v>
      </c>
      <c r="S15" s="29">
        <v>0.75029802322387695</v>
      </c>
      <c r="T15" s="29">
        <v>4.4848999977111816</v>
      </c>
      <c r="V15" s="29" t="str">
        <v>India</v>
      </c>
      <c r="W15" s="29">
        <v>0.65266716480255127</v>
      </c>
      <c r="X15" s="29">
        <v>4.0541000366210938</v>
      </c>
    </row>
    <row r="16" spans="1:24" x14ac:dyDescent="0.25">
      <c r="R16" s="29" t="str">
        <v>Burkina Faso</v>
      </c>
      <c r="S16" s="29">
        <v>0.75584930181503296</v>
      </c>
      <c r="T16" s="29">
        <v>4.5479998588562012</v>
      </c>
      <c r="V16" s="29" t="str">
        <v>Congo (Kinshasa)</v>
      </c>
      <c r="W16" s="29">
        <v>0.66470003128051758</v>
      </c>
      <c r="X16" s="29">
        <v>3.2953999042510986</v>
      </c>
    </row>
    <row r="17" spans="18:24" x14ac:dyDescent="0.25">
      <c r="R17" s="29" t="str">
        <v>Togo</v>
      </c>
      <c r="S17" s="29">
        <v>0.75849395990371704</v>
      </c>
      <c r="T17" s="29">
        <v>4.2140998840332031</v>
      </c>
      <c r="V17" s="29" t="str">
        <v>Liberia</v>
      </c>
      <c r="W17" s="29">
        <v>0.673256516456604</v>
      </c>
      <c r="X17" s="29">
        <v>4.2685999870300293</v>
      </c>
    </row>
    <row r="18" spans="18:24" x14ac:dyDescent="0.25">
      <c r="R18" s="29" t="str">
        <v>Lesotho</v>
      </c>
      <c r="S18" s="29">
        <v>0.77080661058425903</v>
      </c>
      <c r="T18" s="29">
        <v>3.1861999034881592</v>
      </c>
      <c r="V18" s="29" t="str">
        <v>Niger</v>
      </c>
      <c r="W18" s="29">
        <v>0.67738664150238037</v>
      </c>
      <c r="X18" s="29">
        <v>4.556300163269043</v>
      </c>
    </row>
    <row r="19" spans="18:24" x14ac:dyDescent="0.25">
      <c r="R19" s="29" t="str">
        <v>Uganda</v>
      </c>
      <c r="S19" s="29">
        <v>0.77195256948471069</v>
      </c>
      <c r="T19" s="29">
        <v>4.3716998100280762</v>
      </c>
      <c r="V19" s="29" t="str">
        <v>Gambia</v>
      </c>
      <c r="W19" s="29">
        <v>0.68383723497390747</v>
      </c>
      <c r="X19" s="29">
        <v>4.4848999977111816</v>
      </c>
    </row>
    <row r="20" spans="18:24" x14ac:dyDescent="0.25">
      <c r="R20" s="29" t="str">
        <v>Ethiopia</v>
      </c>
      <c r="S20" s="29">
        <v>0.79156035184860229</v>
      </c>
      <c r="T20" s="29">
        <v>3.8608999252319336</v>
      </c>
      <c r="V20" s="29" t="str">
        <v>Burkina Faso</v>
      </c>
      <c r="W20" s="29">
        <v>0.68505561351776123</v>
      </c>
      <c r="X20" s="29">
        <v>4.5479998588562012</v>
      </c>
    </row>
    <row r="21" spans="18:24" x14ac:dyDescent="0.25">
      <c r="R21" s="29" t="str">
        <v>Tanzania</v>
      </c>
      <c r="S21" s="29">
        <v>0.82013702392578125</v>
      </c>
      <c r="T21" s="29">
        <v>3.7806000709533691</v>
      </c>
      <c r="V21" s="29" t="str">
        <v>Mali</v>
      </c>
      <c r="W21" s="29">
        <v>0.68790453672409058</v>
      </c>
      <c r="X21" s="29">
        <v>4.2319998741149902</v>
      </c>
    </row>
    <row r="22" spans="18:24" x14ac:dyDescent="0.25">
      <c r="R22" s="29" t="str">
        <v>Guinea</v>
      </c>
      <c r="S22" s="29">
        <v>0.83056735992431641</v>
      </c>
      <c r="T22" s="29">
        <v>5.0233001708984375</v>
      </c>
      <c r="V22" s="29" t="str">
        <v>Mauritania</v>
      </c>
      <c r="W22" s="29">
        <v>0.70462977886199951</v>
      </c>
      <c r="X22" s="29">
        <v>4.5050997734069824</v>
      </c>
    </row>
    <row r="23" spans="18:24" x14ac:dyDescent="0.25">
      <c r="R23" s="29" t="str">
        <v>Congo (Brazzaville)</v>
      </c>
      <c r="S23" s="29">
        <v>0.8923410177230835</v>
      </c>
      <c r="T23" s="29">
        <v>5.2214999198913574</v>
      </c>
      <c r="V23" s="29" t="str">
        <v>Tanzania</v>
      </c>
      <c r="W23" s="29">
        <v>0.70603954792022705</v>
      </c>
      <c r="X23" s="29">
        <v>3.7806000709533691</v>
      </c>
    </row>
    <row r="24" spans="18:24" x14ac:dyDescent="0.25">
      <c r="R24" s="29" t="str">
        <v>Comoros</v>
      </c>
      <c r="S24" s="29">
        <v>0.89553189277648926</v>
      </c>
      <c r="T24" s="29">
        <v>3.5662999153137207</v>
      </c>
      <c r="V24" s="29" t="str">
        <v>Ghana</v>
      </c>
      <c r="W24" s="29">
        <v>0.74714690446853638</v>
      </c>
      <c r="X24" s="29">
        <v>4.2894001007080078</v>
      </c>
    </row>
    <row r="25" spans="18:24" x14ac:dyDescent="0.25">
      <c r="R25" s="29" t="str">
        <v>Zambia</v>
      </c>
      <c r="S25" s="29">
        <v>0.89897161722183228</v>
      </c>
      <c r="T25" s="29">
        <v>3.5023999214172363</v>
      </c>
      <c r="V25" s="29" t="str">
        <v>Senegal</v>
      </c>
      <c r="W25" s="29">
        <v>0.75067895650863647</v>
      </c>
      <c r="X25" s="29">
        <v>4.968599796295166</v>
      </c>
    </row>
    <row r="26" spans="18:24" x14ac:dyDescent="0.25">
      <c r="R26" s="29" t="str">
        <v>Benin</v>
      </c>
      <c r="S26" s="29">
        <v>0.9135749340057373</v>
      </c>
      <c r="T26" s="29">
        <v>4.3773999214172363</v>
      </c>
      <c r="V26" s="29" t="str">
        <v>Chad</v>
      </c>
      <c r="W26" s="29">
        <v>0.80541253089904785</v>
      </c>
      <c r="X26" s="29">
        <v>4.4713001251220703</v>
      </c>
    </row>
    <row r="27" spans="18:24" x14ac:dyDescent="0.25">
      <c r="R27" s="29" t="str">
        <v>Senegal</v>
      </c>
      <c r="S27" s="29">
        <v>0.92735916376113892</v>
      </c>
      <c r="T27" s="29">
        <v>4.968599796295166</v>
      </c>
      <c r="V27" s="29" t="str">
        <v>Zambia</v>
      </c>
      <c r="W27" s="29">
        <v>0.80891859531402588</v>
      </c>
      <c r="X27" s="29">
        <v>3.5023999214172363</v>
      </c>
    </row>
    <row r="28" spans="18:24" x14ac:dyDescent="0.25">
      <c r="R28" s="29" t="str">
        <v>Cameroon</v>
      </c>
      <c r="S28" s="29">
        <v>0.9432443380355835</v>
      </c>
      <c r="T28" s="29">
        <v>4.8744001388549805</v>
      </c>
      <c r="V28" s="29" t="str">
        <v>Madagascar</v>
      </c>
      <c r="W28" s="29">
        <v>0.82349097728729248</v>
      </c>
      <c r="X28" s="29">
        <v>4.2279000282287598</v>
      </c>
    </row>
    <row r="29" spans="18:24" x14ac:dyDescent="0.25">
      <c r="R29" s="29" t="str">
        <v>Nepal</v>
      </c>
      <c r="S29" s="29">
        <v>0.96536391973495483</v>
      </c>
      <c r="T29" s="29">
        <v>5.1584000587463379</v>
      </c>
      <c r="V29" s="29" t="str">
        <v>Laos</v>
      </c>
      <c r="W29" s="29">
        <v>0.84629791975021362</v>
      </c>
      <c r="X29" s="29">
        <v>5.1388998031616211</v>
      </c>
    </row>
    <row r="30" spans="18:24" x14ac:dyDescent="0.25">
      <c r="R30" s="29" t="str">
        <v>Myanmar</v>
      </c>
      <c r="S30" s="29">
        <v>0.97761642932891846</v>
      </c>
      <c r="T30" s="29">
        <v>4.3544998168945313</v>
      </c>
      <c r="V30" s="29" t="str">
        <v>Zimbabwe</v>
      </c>
      <c r="W30" s="29">
        <v>0.85008198022842407</v>
      </c>
      <c r="X30" s="29">
        <v>3.3410999774932861</v>
      </c>
    </row>
    <row r="31" spans="18:24" x14ac:dyDescent="0.25">
      <c r="R31" s="29" t="str">
        <v>Cambodia</v>
      </c>
      <c r="S31" s="29">
        <v>1.0109834671020508</v>
      </c>
      <c r="T31" s="29">
        <v>4.3407001495361328</v>
      </c>
      <c r="V31" s="29" t="str">
        <v>Lesotho</v>
      </c>
      <c r="W31" s="29">
        <v>0.85058730840682983</v>
      </c>
      <c r="X31" s="29">
        <v>3.1861999034881592</v>
      </c>
    </row>
    <row r="32" spans="18:24" x14ac:dyDescent="0.25">
      <c r="R32" s="29" t="str">
        <v>Kenya</v>
      </c>
      <c r="S32" s="29">
        <v>1.036737322807312</v>
      </c>
      <c r="T32" s="29">
        <v>4.4696002006530762</v>
      </c>
      <c r="V32" s="29" t="str">
        <v>Cameroon</v>
      </c>
      <c r="W32" s="29">
        <v>0.85600453615188599</v>
      </c>
      <c r="X32" s="29">
        <v>4.8744001388549805</v>
      </c>
    </row>
    <row r="33" spans="18:24" x14ac:dyDescent="0.25">
      <c r="R33" s="29" t="str">
        <v>Nigeria</v>
      </c>
      <c r="S33" s="29">
        <v>1.0417711734771729</v>
      </c>
      <c r="T33" s="29">
        <v>4.8807997703552246</v>
      </c>
      <c r="V33" s="29" t="str">
        <v>Azerbaijan</v>
      </c>
      <c r="W33" s="29">
        <v>0.87568622827529907</v>
      </c>
      <c r="X33" s="29">
        <v>4.8934001922607422</v>
      </c>
    </row>
    <row r="34" spans="18:24" x14ac:dyDescent="0.25">
      <c r="R34" s="29" t="str">
        <v>Kyrgyzstan</v>
      </c>
      <c r="S34" s="29">
        <v>1.0542736053466797</v>
      </c>
      <c r="T34" s="29">
        <v>5.7135000228881836</v>
      </c>
      <c r="V34" s="29" t="str">
        <v>Mozambique</v>
      </c>
      <c r="W34" s="29">
        <v>0.88307136297225952</v>
      </c>
      <c r="X34" s="29">
        <v>5.216400146484375</v>
      </c>
    </row>
    <row r="35" spans="18:24" x14ac:dyDescent="0.25">
      <c r="R35" s="29" t="str">
        <v>Pakistan</v>
      </c>
      <c r="S35" s="29">
        <v>1.0685423612594604</v>
      </c>
      <c r="T35" s="29">
        <v>4.6567001342773438</v>
      </c>
      <c r="V35" s="29" t="str">
        <v>Kenya</v>
      </c>
      <c r="W35" s="29">
        <v>0.89535057544708252</v>
      </c>
      <c r="X35" s="29">
        <v>4.4696002006530762</v>
      </c>
    </row>
    <row r="36" spans="18:24" x14ac:dyDescent="0.25">
      <c r="R36" s="29" t="str">
        <v>Ghana</v>
      </c>
      <c r="S36" s="29">
        <v>1.0765100717544556</v>
      </c>
      <c r="T36" s="29">
        <v>4.2894001007080078</v>
      </c>
      <c r="V36" s="29" t="str">
        <v>Ethiopia</v>
      </c>
      <c r="W36" s="29">
        <v>0.91491889953613281</v>
      </c>
      <c r="X36" s="29">
        <v>3.8608999252319336</v>
      </c>
    </row>
    <row r="37" spans="18:24" x14ac:dyDescent="0.25">
      <c r="R37" s="29" t="str">
        <v>Mauritania</v>
      </c>
      <c r="S37" s="29">
        <v>1.077660083770752</v>
      </c>
      <c r="T37" s="29">
        <v>4.5050997734069824</v>
      </c>
      <c r="V37" s="29" t="str">
        <v>Albania</v>
      </c>
      <c r="W37" s="29">
        <v>0.9235725998878479</v>
      </c>
      <c r="X37" s="29">
        <v>5.3042001724243164</v>
      </c>
    </row>
    <row r="38" spans="18:24" x14ac:dyDescent="0.25">
      <c r="R38" s="29" t="str">
        <v>Ivory Coast</v>
      </c>
      <c r="S38" s="29">
        <v>1.0801311731338501</v>
      </c>
      <c r="T38" s="29">
        <v>5.0801000595092773</v>
      </c>
      <c r="V38" s="29" t="str">
        <v>Eswatini</v>
      </c>
      <c r="W38" s="29">
        <v>0.9251137375831604</v>
      </c>
      <c r="X38" s="29">
        <v>3.502000093460083</v>
      </c>
    </row>
    <row r="39" spans="18:24" x14ac:dyDescent="0.25">
      <c r="R39" s="29" t="str">
        <v>Honduras</v>
      </c>
      <c r="S39" s="29">
        <v>1.0906941890716553</v>
      </c>
      <c r="T39" s="29">
        <v>5.9684000015258789</v>
      </c>
      <c r="V39" s="29" t="str">
        <v>Palestine</v>
      </c>
      <c r="W39" s="29">
        <v>0.94199999999999995</v>
      </c>
      <c r="X39" s="29">
        <v>4.8794999122619629</v>
      </c>
    </row>
    <row r="40" spans="18:24" x14ac:dyDescent="0.25">
      <c r="R40" s="29" t="str">
        <v>Nicaragua</v>
      </c>
      <c r="S40" s="29">
        <v>1.0972721576690674</v>
      </c>
      <c r="T40" s="29">
        <v>6.2838997840881348</v>
      </c>
      <c r="V40" s="29" t="str">
        <v>Tunisia</v>
      </c>
      <c r="W40" s="29">
        <v>0.95469146966934204</v>
      </c>
      <c r="X40" s="29">
        <v>4.4218001365661621</v>
      </c>
    </row>
    <row r="41" spans="18:24" x14ac:dyDescent="0.25">
      <c r="R41" s="29" t="str">
        <v>Bangladesh</v>
      </c>
      <c r="S41" s="29">
        <v>1.1216069459915161</v>
      </c>
      <c r="T41" s="29">
        <v>3.8859000205993652</v>
      </c>
      <c r="V41" s="29" t="str">
        <v>Botswana</v>
      </c>
      <c r="W41" s="29">
        <v>0.96861052513122559</v>
      </c>
      <c r="X41" s="29">
        <v>3.3833999633789063</v>
      </c>
    </row>
    <row r="42" spans="18:24" x14ac:dyDescent="0.25">
      <c r="R42" s="29" t="str">
        <v>India</v>
      </c>
      <c r="S42" s="29">
        <v>1.1661732196807861</v>
      </c>
      <c r="T42" s="29">
        <v>4.0541000366210938</v>
      </c>
      <c r="V42" s="29" t="str">
        <v>Jordan</v>
      </c>
      <c r="W42" s="29">
        <v>0.98295855522155762</v>
      </c>
      <c r="X42" s="29">
        <v>4.1858000755310059</v>
      </c>
    </row>
    <row r="43" spans="18:24" x14ac:dyDescent="0.25">
      <c r="R43" s="29" t="str">
        <v>Laos</v>
      </c>
      <c r="S43" s="29">
        <v>1.2084683179855347</v>
      </c>
      <c r="T43" s="29">
        <v>5.1388998031616211</v>
      </c>
      <c r="V43" s="29" t="str">
        <v>Myanmar</v>
      </c>
      <c r="W43" s="29">
        <v>0.98811346292495728</v>
      </c>
      <c r="X43" s="29">
        <v>4.3544998168945313</v>
      </c>
    </row>
    <row r="44" spans="18:24" x14ac:dyDescent="0.25">
      <c r="R44" s="29" t="str">
        <v>Uzbekistan</v>
      </c>
      <c r="S44" s="29">
        <v>1.2116951942443848</v>
      </c>
      <c r="T44" s="29">
        <v>6.195000171661377</v>
      </c>
      <c r="V44" s="29" t="str">
        <v>Georgia</v>
      </c>
      <c r="W44" s="29">
        <v>0.99001115560531616</v>
      </c>
      <c r="X44" s="29">
        <v>5.1847000122070313</v>
      </c>
    </row>
    <row r="45" spans="18:24" x14ac:dyDescent="0.25">
      <c r="R45" s="29" t="str">
        <v>Palestine</v>
      </c>
      <c r="S45" s="29">
        <v>1.2130000000000001</v>
      </c>
      <c r="T45" s="29">
        <v>4.8794999122619629</v>
      </c>
      <c r="V45" s="29" t="str">
        <v>Nepal</v>
      </c>
      <c r="W45" s="29">
        <v>0.99018365144729614</v>
      </c>
      <c r="X45" s="29">
        <v>5.1584000587463379</v>
      </c>
    </row>
    <row r="46" spans="18:24" x14ac:dyDescent="0.25">
      <c r="R46" s="29" t="str">
        <v>Morocco</v>
      </c>
      <c r="S46" s="29">
        <v>1.2134435176849365</v>
      </c>
      <c r="T46" s="29">
        <v>4.7947001457214355</v>
      </c>
      <c r="V46" s="29" t="str">
        <v>Egypt</v>
      </c>
      <c r="W46" s="29">
        <v>0.99585139751434326</v>
      </c>
      <c r="X46" s="29">
        <v>3.9765999317169189</v>
      </c>
    </row>
    <row r="47" spans="18:24" x14ac:dyDescent="0.25">
      <c r="R47" s="29" t="str">
        <v>Bolivia</v>
      </c>
      <c r="S47" s="29">
        <v>1.2170525789260864</v>
      </c>
      <c r="T47" s="29">
        <v>5.7842998504638672</v>
      </c>
      <c r="V47" s="29" t="str">
        <v>Iraq</v>
      </c>
      <c r="W47" s="29">
        <v>0.99594837427139282</v>
      </c>
      <c r="X47" s="29">
        <v>5.1659998893737793</v>
      </c>
    </row>
    <row r="48" spans="18:24" x14ac:dyDescent="0.25">
      <c r="R48" s="29" t="str">
        <v>Philippines</v>
      </c>
      <c r="S48" s="29">
        <v>1.2319400310516357</v>
      </c>
      <c r="T48" s="29">
        <v>6.0475997924804688</v>
      </c>
      <c r="V48" s="29" t="str">
        <v>Cambodia</v>
      </c>
      <c r="W48" s="29">
        <v>1.0185363292694092</v>
      </c>
      <c r="X48" s="29">
        <v>4.3407001495361328</v>
      </c>
    </row>
    <row r="49" spans="18:24" x14ac:dyDescent="0.25">
      <c r="R49" s="29" t="str">
        <v>Iraq</v>
      </c>
      <c r="S49" s="29">
        <v>1.2487026453018188</v>
      </c>
      <c r="T49" s="29">
        <v>5.1659998893737793</v>
      </c>
      <c r="V49" s="29" t="str">
        <v>Honduras</v>
      </c>
      <c r="W49" s="29">
        <v>1.0354576110839844</v>
      </c>
      <c r="X49" s="29">
        <v>5.9684000015258789</v>
      </c>
    </row>
    <row r="50" spans="18:24" x14ac:dyDescent="0.25">
      <c r="R50" s="29" t="str">
        <v>Eswatini</v>
      </c>
      <c r="S50" s="29">
        <v>1.2553025484085083</v>
      </c>
      <c r="T50" s="29">
        <v>3.502000093460083</v>
      </c>
      <c r="V50" s="29" t="str">
        <v>Gabon</v>
      </c>
      <c r="W50" s="29">
        <v>1.0376240015029907</v>
      </c>
      <c r="X50" s="29">
        <v>5.106299877166748</v>
      </c>
    </row>
    <row r="51" spans="18:24" x14ac:dyDescent="0.25">
      <c r="R51" s="29" t="str">
        <v>Guatemala</v>
      </c>
      <c r="S51" s="29">
        <v>1.2595252990722656</v>
      </c>
      <c r="T51" s="29">
        <v>6.2870001792907715</v>
      </c>
      <c r="V51" s="29" t="str">
        <v>Nigeria</v>
      </c>
      <c r="W51" s="29">
        <v>1.0754878520965576</v>
      </c>
      <c r="X51" s="29">
        <v>4.8807997703552246</v>
      </c>
    </row>
    <row r="52" spans="18:24" x14ac:dyDescent="0.25">
      <c r="R52" s="29" t="str">
        <v>Jordan</v>
      </c>
      <c r="S52" s="29">
        <v>1.2622883319854736</v>
      </c>
      <c r="T52" s="29">
        <v>4.1858000755310059</v>
      </c>
      <c r="V52" s="29" t="str">
        <v>El Salvador</v>
      </c>
      <c r="W52" s="29">
        <v>1.07977294921875</v>
      </c>
      <c r="X52" s="29">
        <v>6.4686999320983887</v>
      </c>
    </row>
    <row r="53" spans="18:24" x14ac:dyDescent="0.25">
      <c r="R53" s="29" t="str">
        <v>El Salvador</v>
      </c>
      <c r="S53" s="29">
        <v>1.2650809288024902</v>
      </c>
      <c r="T53" s="29">
        <v>6.4686999320983887</v>
      </c>
      <c r="V53" s="29" t="str">
        <v>Libya</v>
      </c>
      <c r="W53" s="29">
        <v>1.0999952554702759</v>
      </c>
      <c r="X53" s="29">
        <v>5.866300106048584</v>
      </c>
    </row>
    <row r="54" spans="18:24" x14ac:dyDescent="0.25">
      <c r="R54" s="29" t="str">
        <v>Namibia</v>
      </c>
      <c r="S54" s="29">
        <v>1.2663460969924927</v>
      </c>
      <c r="T54" s="29">
        <v>4.8316998481750488</v>
      </c>
      <c r="V54" s="29" t="str">
        <v>Iran</v>
      </c>
      <c r="W54" s="29">
        <v>1.1361976861953735</v>
      </c>
      <c r="X54" s="29">
        <v>4.9228000640869141</v>
      </c>
    </row>
    <row r="55" spans="18:24" x14ac:dyDescent="0.25">
      <c r="R55" s="29" t="str">
        <v>Jamaica</v>
      </c>
      <c r="S55" s="29">
        <v>1.2801949977874756</v>
      </c>
      <c r="T55" s="29">
        <v>5.8417000770568848</v>
      </c>
      <c r="V55" s="29" t="str">
        <v>Malaysia</v>
      </c>
      <c r="W55" s="29">
        <v>1.1434816122055054</v>
      </c>
      <c r="X55" s="29">
        <v>5.9752001762390137</v>
      </c>
    </row>
    <row r="56" spans="18:24" x14ac:dyDescent="0.25">
      <c r="R56" s="29" t="str">
        <v>Tunisia</v>
      </c>
      <c r="S56" s="29">
        <v>1.3064451217651367</v>
      </c>
      <c r="T56" s="29">
        <v>4.4218001365661621</v>
      </c>
      <c r="V56" s="29" t="str">
        <v>Philippines</v>
      </c>
      <c r="W56" s="29">
        <v>1.1459598541259766</v>
      </c>
      <c r="X56" s="29">
        <v>6.0475997924804688</v>
      </c>
    </row>
    <row r="57" spans="18:24" x14ac:dyDescent="0.25">
      <c r="R57" s="29" t="str">
        <v>Ecuador</v>
      </c>
      <c r="S57" s="29">
        <v>1.3154677152633667</v>
      </c>
      <c r="T57" s="29">
        <v>5.7245001792907715</v>
      </c>
      <c r="V57" s="29" t="str">
        <v>Ecuador</v>
      </c>
      <c r="W57" s="29">
        <v>1.1506501436233521</v>
      </c>
      <c r="X57" s="29">
        <v>5.7245001792907715</v>
      </c>
    </row>
    <row r="58" spans="18:24" x14ac:dyDescent="0.25">
      <c r="R58" s="29" t="str">
        <v>Algeria</v>
      </c>
      <c r="S58" s="29">
        <v>1.3235404491424561</v>
      </c>
      <c r="T58" s="29">
        <v>5.3635001182556152</v>
      </c>
      <c r="V58" s="29" t="str">
        <v>Uganda</v>
      </c>
      <c r="W58" s="29">
        <v>1.1507896184921265</v>
      </c>
      <c r="X58" s="29">
        <v>4.3716998100280762</v>
      </c>
    </row>
    <row r="59" spans="18:24" x14ac:dyDescent="0.25">
      <c r="R59" s="29" t="str">
        <v>Vietnam</v>
      </c>
      <c r="S59" s="29">
        <v>1.330500602722168</v>
      </c>
      <c r="T59" s="29">
        <v>6.0430002212524414</v>
      </c>
      <c r="V59" s="29" t="str">
        <v>Armenia</v>
      </c>
      <c r="W59" s="29">
        <v>1.1544399261474609</v>
      </c>
      <c r="X59" s="29">
        <v>5.454899787902832</v>
      </c>
    </row>
    <row r="60" spans="18:24" x14ac:dyDescent="0.25">
      <c r="R60" s="29" t="str">
        <v>Ukraine</v>
      </c>
      <c r="S60" s="29">
        <v>1.3498984575271606</v>
      </c>
      <c r="T60" s="29">
        <v>4.8730001449584961</v>
      </c>
      <c r="V60" s="29" t="str">
        <v>United Arab Emirates</v>
      </c>
      <c r="W60" s="29">
        <v>1.163949728012085</v>
      </c>
      <c r="X60" s="29">
        <v>6.7330999374389648</v>
      </c>
    </row>
    <row r="61" spans="18:24" x14ac:dyDescent="0.25">
      <c r="R61" s="29" t="str">
        <v>Mongolia</v>
      </c>
      <c r="S61" s="29">
        <v>1.3527040481567383</v>
      </c>
      <c r="T61" s="29">
        <v>5.696199893951416</v>
      </c>
      <c r="V61" s="29" t="str">
        <v>Guatemala</v>
      </c>
      <c r="W61" s="29">
        <v>1.1688857078552246</v>
      </c>
      <c r="X61" s="29">
        <v>6.2870001792907715</v>
      </c>
    </row>
    <row r="62" spans="18:24" x14ac:dyDescent="0.25">
      <c r="R62" s="29" t="str">
        <v>Sri Lanka</v>
      </c>
      <c r="S62" s="29">
        <v>1.3609724044799805</v>
      </c>
      <c r="T62" s="29">
        <v>3.8980998992919922</v>
      </c>
      <c r="V62" s="29" t="str">
        <v>Turkiye</v>
      </c>
      <c r="W62" s="29">
        <v>1.1750115156173706</v>
      </c>
      <c r="X62" s="29">
        <v>4.9752998352050781</v>
      </c>
    </row>
    <row r="63" spans="18:24" x14ac:dyDescent="0.25">
      <c r="R63" s="29" t="str">
        <v>Indonesia</v>
      </c>
      <c r="S63" s="29">
        <v>1.3614945411682129</v>
      </c>
      <c r="T63" s="29">
        <v>5.5682997703552246</v>
      </c>
      <c r="V63" s="29" t="str">
        <v>South Korea</v>
      </c>
      <c r="W63" s="29">
        <v>1.1780478954315186</v>
      </c>
      <c r="X63" s="29">
        <v>6.0578999519348145</v>
      </c>
    </row>
    <row r="64" spans="18:24" x14ac:dyDescent="0.25">
      <c r="R64" s="29" t="str">
        <v>Kosovo</v>
      </c>
      <c r="S64" s="29">
        <v>1.3642358779907227</v>
      </c>
      <c r="T64" s="29">
        <v>6.560999870300293</v>
      </c>
      <c r="V64" s="29" t="str">
        <v>Sri Lanka</v>
      </c>
      <c r="W64" s="29">
        <v>1.1786798238754272</v>
      </c>
      <c r="X64" s="29">
        <v>3.8980998992919922</v>
      </c>
    </row>
    <row r="65" spans="18:24" x14ac:dyDescent="0.25">
      <c r="R65" s="29" t="str">
        <v>Egypt</v>
      </c>
      <c r="S65" s="29">
        <v>1.3699750900268555</v>
      </c>
      <c r="T65" s="29">
        <v>3.9765999317169189</v>
      </c>
      <c r="V65" s="29" t="str">
        <v>Bolivia</v>
      </c>
      <c r="W65" s="29">
        <v>1.1794114112854004</v>
      </c>
      <c r="X65" s="29">
        <v>5.7842998504638672</v>
      </c>
    </row>
    <row r="66" spans="18:24" x14ac:dyDescent="0.25">
      <c r="R66" s="29" t="str">
        <v>Peru</v>
      </c>
      <c r="S66" s="29">
        <v>1.3706018924713135</v>
      </c>
      <c r="T66" s="29">
        <v>5.8408999443054199</v>
      </c>
      <c r="V66" s="29" t="str">
        <v>Peru</v>
      </c>
      <c r="W66" s="29">
        <v>1.1799687147140503</v>
      </c>
      <c r="X66" s="29">
        <v>5.8408999443054199</v>
      </c>
    </row>
    <row r="67" spans="18:24" x14ac:dyDescent="0.25">
      <c r="R67" s="29" t="str">
        <v>Lebanon</v>
      </c>
      <c r="S67" s="29">
        <v>1.3767255544662476</v>
      </c>
      <c r="T67" s="29">
        <v>2.7065000534057617</v>
      </c>
      <c r="V67" s="29" t="str">
        <v>Indonesia</v>
      </c>
      <c r="W67" s="29">
        <v>1.1842628717422485</v>
      </c>
      <c r="X67" s="29">
        <v>5.5682997703552246</v>
      </c>
    </row>
    <row r="68" spans="18:24" x14ac:dyDescent="0.25">
      <c r="R68" s="29" t="str">
        <v>Moldova</v>
      </c>
      <c r="S68" s="29">
        <v>1.3853644132614136</v>
      </c>
      <c r="T68" s="29">
        <v>5.8158998489379883</v>
      </c>
      <c r="V68" s="29" t="str">
        <v>Hong Kong</v>
      </c>
      <c r="W68" s="29">
        <v>1.1844797134399414</v>
      </c>
      <c r="X68" s="29">
        <v>5.3164000511169434</v>
      </c>
    </row>
    <row r="69" spans="18:24" x14ac:dyDescent="0.25">
      <c r="R69" s="29" t="str">
        <v>South Africa</v>
      </c>
      <c r="S69" s="29">
        <v>1.3891060352325439</v>
      </c>
      <c r="T69" s="29">
        <v>5.4219999313354492</v>
      </c>
      <c r="V69" s="29" t="str">
        <v>Algeria</v>
      </c>
      <c r="W69" s="29">
        <v>1.1906074285507202</v>
      </c>
      <c r="X69" s="29">
        <v>5.3635001182556152</v>
      </c>
    </row>
    <row r="70" spans="18:24" x14ac:dyDescent="0.25">
      <c r="R70" s="29" t="str">
        <v>Paraguay</v>
      </c>
      <c r="S70" s="29">
        <v>1.3981411457061768</v>
      </c>
      <c r="T70" s="29">
        <v>5.9765000343322754</v>
      </c>
      <c r="V70" s="29" t="str">
        <v>Namibia</v>
      </c>
      <c r="W70" s="29">
        <v>1.2120418548583984</v>
      </c>
      <c r="X70" s="29">
        <v>4.8316998481750488</v>
      </c>
    </row>
    <row r="71" spans="18:24" x14ac:dyDescent="0.25">
      <c r="R71" s="29" t="str">
        <v>Gabon</v>
      </c>
      <c r="S71" s="29">
        <v>1.4034374952316284</v>
      </c>
      <c r="T71" s="29">
        <v>5.106299877166748</v>
      </c>
      <c r="V71" s="29" t="str">
        <v>Cyprus</v>
      </c>
      <c r="W71" s="29">
        <v>1.2169917821884155</v>
      </c>
      <c r="X71" s="29">
        <v>6.0680999755859375</v>
      </c>
    </row>
    <row r="72" spans="18:24" x14ac:dyDescent="0.25">
      <c r="R72" s="29" t="str">
        <v>Brazil</v>
      </c>
      <c r="S72" s="29">
        <v>1.4295258522033691</v>
      </c>
      <c r="T72" s="29">
        <v>6.2719998359680176</v>
      </c>
      <c r="V72" s="29" t="str">
        <v>Romania</v>
      </c>
      <c r="W72" s="29">
        <v>1.235722541809082</v>
      </c>
      <c r="X72" s="29">
        <v>6.4911999702453613</v>
      </c>
    </row>
    <row r="73" spans="18:24" x14ac:dyDescent="0.25">
      <c r="R73" s="29" t="str">
        <v>Azerbaijan</v>
      </c>
      <c r="S73" s="29">
        <v>1.4329136610031128</v>
      </c>
      <c r="T73" s="29">
        <v>4.8934001922607422</v>
      </c>
      <c r="V73" s="29" t="str">
        <v>China</v>
      </c>
      <c r="W73" s="29">
        <v>1.238689661026001</v>
      </c>
      <c r="X73" s="29">
        <v>5.9727001190185547</v>
      </c>
    </row>
    <row r="74" spans="18:24" x14ac:dyDescent="0.25">
      <c r="R74" s="29" t="str">
        <v>Iran</v>
      </c>
      <c r="S74" s="29">
        <v>1.4351887702941895</v>
      </c>
      <c r="T74" s="29">
        <v>4.9228000640869141</v>
      </c>
      <c r="V74" s="29" t="str">
        <v>Colombia</v>
      </c>
      <c r="W74" s="29">
        <v>1.2406914234161377</v>
      </c>
      <c r="X74" s="29">
        <v>5.6950998306274414</v>
      </c>
    </row>
    <row r="75" spans="18:24" x14ac:dyDescent="0.25">
      <c r="R75" s="29" t="str">
        <v>Colombia</v>
      </c>
      <c r="S75" s="29">
        <v>1.4369055032730103</v>
      </c>
      <c r="T75" s="29">
        <v>5.6950998306274414</v>
      </c>
      <c r="V75" s="29" t="str">
        <v>Mexico</v>
      </c>
      <c r="W75" s="29">
        <v>1.2411946058273315</v>
      </c>
      <c r="X75" s="29">
        <v>6.6779999732971191</v>
      </c>
    </row>
    <row r="76" spans="18:24" x14ac:dyDescent="0.25">
      <c r="R76" s="29" t="str">
        <v>Albania</v>
      </c>
      <c r="S76" s="29">
        <v>1.4378888607025146</v>
      </c>
      <c r="T76" s="29">
        <v>5.3042001724243164</v>
      </c>
      <c r="V76" s="29" t="str">
        <v>Nicaragua</v>
      </c>
      <c r="W76" s="29">
        <v>1.263219952583313</v>
      </c>
      <c r="X76" s="29">
        <v>6.2838997840881348</v>
      </c>
    </row>
    <row r="77" spans="18:24" x14ac:dyDescent="0.25">
      <c r="R77" s="29" t="str">
        <v>Armenia</v>
      </c>
      <c r="S77" s="29">
        <v>1.4435883760452271</v>
      </c>
      <c r="T77" s="29">
        <v>5.454899787902832</v>
      </c>
      <c r="V77" s="29" t="str">
        <v>Vietnam</v>
      </c>
      <c r="W77" s="29">
        <v>1.2670079469680786</v>
      </c>
      <c r="X77" s="29">
        <v>6.0430002212524414</v>
      </c>
    </row>
    <row r="78" spans="18:24" x14ac:dyDescent="0.25">
      <c r="R78" s="29" t="str">
        <v>Botswana</v>
      </c>
      <c r="S78" s="29">
        <v>1.4446913003921509</v>
      </c>
      <c r="T78" s="29">
        <v>3.3833999633789063</v>
      </c>
      <c r="V78" s="29" t="str">
        <v>Brazil</v>
      </c>
      <c r="W78" s="29">
        <v>1.26877760887146</v>
      </c>
      <c r="X78" s="29">
        <v>6.2719998359680176</v>
      </c>
    </row>
    <row r="79" spans="18:24" x14ac:dyDescent="0.25">
      <c r="R79" s="29" t="str">
        <v>Bosnia and Herzegovina</v>
      </c>
      <c r="S79" s="29">
        <v>1.4647413492202759</v>
      </c>
      <c r="T79" s="29">
        <v>5.8769998550415039</v>
      </c>
      <c r="V79" s="29" t="str">
        <v>Dominican Republic</v>
      </c>
      <c r="W79" s="29">
        <v>1.2715129852294922</v>
      </c>
      <c r="X79" s="29">
        <v>5.8228001594543457</v>
      </c>
    </row>
    <row r="80" spans="18:24" x14ac:dyDescent="0.25">
      <c r="R80" s="29" t="str">
        <v>Georgia</v>
      </c>
      <c r="S80" s="29">
        <v>1.4669232368469238</v>
      </c>
      <c r="T80" s="29">
        <v>5.1847000122070313</v>
      </c>
      <c r="V80" s="29" t="str">
        <v>Greece</v>
      </c>
      <c r="W80" s="29">
        <v>1.2760926485061646</v>
      </c>
      <c r="X80" s="29">
        <v>5.9335999488830566</v>
      </c>
    </row>
    <row r="81" spans="18:24" x14ac:dyDescent="0.25">
      <c r="R81" s="29" t="str">
        <v>North Macedonia</v>
      </c>
      <c r="S81" s="29">
        <v>1.4753087759017944</v>
      </c>
      <c r="T81" s="29">
        <v>5.3691000938415527</v>
      </c>
      <c r="V81" s="29" t="str">
        <v>North Macedonia</v>
      </c>
      <c r="W81" s="29">
        <v>1.2765878438949585</v>
      </c>
      <c r="X81" s="29">
        <v>5.3691000938415527</v>
      </c>
    </row>
    <row r="82" spans="18:24" x14ac:dyDescent="0.25">
      <c r="R82" s="29" t="str">
        <v>Thailand</v>
      </c>
      <c r="S82" s="29">
        <v>1.4842075109481812</v>
      </c>
      <c r="T82" s="29">
        <v>5.976099967956543</v>
      </c>
      <c r="V82" s="29" t="str">
        <v>Kosovo</v>
      </c>
      <c r="W82" s="29">
        <v>1.2768206596374512</v>
      </c>
      <c r="X82" s="29">
        <v>6.560999870300293</v>
      </c>
    </row>
    <row r="83" spans="18:24" x14ac:dyDescent="0.25">
      <c r="R83" s="29" t="str">
        <v>China</v>
      </c>
      <c r="S83" s="29">
        <v>1.4968482255935669</v>
      </c>
      <c r="T83" s="29">
        <v>5.9727001190185547</v>
      </c>
      <c r="V83" s="29" t="str">
        <v>Moldova</v>
      </c>
      <c r="W83" s="29">
        <v>1.277184009552002</v>
      </c>
      <c r="X83" s="29">
        <v>5.8158998489379883</v>
      </c>
    </row>
    <row r="84" spans="18:24" x14ac:dyDescent="0.25">
      <c r="R84" s="29" t="str">
        <v>Dominican Republic</v>
      </c>
      <c r="S84" s="29">
        <v>1.5166972875595093</v>
      </c>
      <c r="T84" s="29">
        <v>5.8228001594543457</v>
      </c>
      <c r="V84" s="29" t="str">
        <v>Yemen</v>
      </c>
      <c r="W84" s="29">
        <v>1.2814736366271973</v>
      </c>
      <c r="X84" s="29">
        <v>3.5610001087188721</v>
      </c>
    </row>
    <row r="85" spans="18:24" x14ac:dyDescent="0.25">
      <c r="R85" s="29" t="str">
        <v>Mexico</v>
      </c>
      <c r="S85" s="29">
        <v>1.5207414627075195</v>
      </c>
      <c r="T85" s="29">
        <v>6.6779999732971191</v>
      </c>
      <c r="V85" s="29" t="str">
        <v>Ukraine</v>
      </c>
      <c r="W85" s="29">
        <v>1.3152741193771362</v>
      </c>
      <c r="X85" s="29">
        <v>4.8730001449584961</v>
      </c>
    </row>
    <row r="86" spans="18:24" x14ac:dyDescent="0.25">
      <c r="R86" s="29" t="str">
        <v>Libya</v>
      </c>
      <c r="S86" s="29">
        <v>1.5256569385528564</v>
      </c>
      <c r="T86" s="29">
        <v>5.866300106048584</v>
      </c>
      <c r="V86" s="29" t="str">
        <v>Montenegro</v>
      </c>
      <c r="W86" s="29">
        <v>1.3179855346679688</v>
      </c>
      <c r="X86" s="29">
        <v>5.7069997787475586</v>
      </c>
    </row>
    <row r="87" spans="18:24" x14ac:dyDescent="0.25">
      <c r="R87" s="29" t="str">
        <v>Serbia</v>
      </c>
      <c r="S87" s="29">
        <v>1.5378245115280151</v>
      </c>
      <c r="T87" s="29">
        <v>6.4107999801635742</v>
      </c>
      <c r="V87" s="29" t="str">
        <v>Bosnia and Herzegovina</v>
      </c>
      <c r="W87" s="29">
        <v>1.3181260824203491</v>
      </c>
      <c r="X87" s="29">
        <v>5.8769998550415039</v>
      </c>
    </row>
    <row r="88" spans="18:24" x14ac:dyDescent="0.25">
      <c r="R88" s="29" t="str">
        <v>Costa Rica</v>
      </c>
      <c r="S88" s="29">
        <v>1.5606451034545898</v>
      </c>
      <c r="T88" s="29">
        <v>6.9553999900817871</v>
      </c>
      <c r="V88" s="29" t="str">
        <v>Venezuela</v>
      </c>
      <c r="W88" s="29">
        <v>1.3213502168655396</v>
      </c>
      <c r="X88" s="29">
        <v>5.6066999435424805</v>
      </c>
    </row>
    <row r="89" spans="18:24" x14ac:dyDescent="0.25">
      <c r="R89" s="29" t="str">
        <v>Argentina</v>
      </c>
      <c r="S89" s="29">
        <v>1.5617474317550659</v>
      </c>
      <c r="T89" s="29">
        <v>6.1880998611450195</v>
      </c>
      <c r="V89" s="29" t="str">
        <v>Jamaica</v>
      </c>
      <c r="W89" s="29">
        <v>1.3238065242767334</v>
      </c>
      <c r="X89" s="29">
        <v>5.8417000770568848</v>
      </c>
    </row>
    <row r="90" spans="18:24" x14ac:dyDescent="0.25">
      <c r="R90" s="29" t="str">
        <v>Mauritius</v>
      </c>
      <c r="S90" s="29">
        <v>1.5704201459884644</v>
      </c>
      <c r="T90" s="29">
        <v>5.8164000511169434</v>
      </c>
      <c r="V90" s="29" t="str">
        <v>United Kingdom</v>
      </c>
      <c r="W90" s="29">
        <v>1.3261128664016724</v>
      </c>
      <c r="X90" s="29">
        <v>6.749000072479248</v>
      </c>
    </row>
    <row r="91" spans="18:24" x14ac:dyDescent="0.25">
      <c r="R91" s="29" t="str">
        <v>Montenegro</v>
      </c>
      <c r="S91" s="29">
        <v>1.5705214738845825</v>
      </c>
      <c r="T91" s="29">
        <v>5.7069997787475586</v>
      </c>
      <c r="V91" s="29" t="str">
        <v>Italy</v>
      </c>
      <c r="W91" s="29">
        <v>1.328234076499939</v>
      </c>
      <c r="X91" s="29">
        <v>6.3235001564025879</v>
      </c>
    </row>
    <row r="92" spans="18:24" x14ac:dyDescent="0.25">
      <c r="R92" s="29" t="str">
        <v>Uruguay</v>
      </c>
      <c r="S92" s="29">
        <v>1.5955692529678345</v>
      </c>
      <c r="T92" s="29">
        <v>6.6114997863769531</v>
      </c>
      <c r="V92" s="29" t="str">
        <v>Austria</v>
      </c>
      <c r="W92" s="29">
        <v>1.3363960981369019</v>
      </c>
      <c r="X92" s="29">
        <v>6.9046998023986816</v>
      </c>
    </row>
    <row r="93" spans="18:24" x14ac:dyDescent="0.25">
      <c r="R93" s="29" t="str">
        <v>Chile</v>
      </c>
      <c r="S93" s="29">
        <v>1.6164460182189941</v>
      </c>
      <c r="T93" s="29">
        <v>6.3603000640869141</v>
      </c>
      <c r="V93" s="29" t="str">
        <v>Taiwan Province of China</v>
      </c>
      <c r="W93" s="29">
        <v>1.3458658456802368</v>
      </c>
      <c r="X93" s="29">
        <v>6.5034999847412109</v>
      </c>
    </row>
    <row r="94" spans="18:24" x14ac:dyDescent="0.25">
      <c r="R94" s="29" t="str">
        <v>Kazakhstan</v>
      </c>
      <c r="S94" s="29">
        <v>1.6224950551986694</v>
      </c>
      <c r="T94" s="29">
        <v>6.1875</v>
      </c>
      <c r="V94" s="29" t="str">
        <v>Thailand</v>
      </c>
      <c r="W94" s="29">
        <v>1.3467154502868652</v>
      </c>
      <c r="X94" s="29">
        <v>5.976099967956543</v>
      </c>
    </row>
    <row r="95" spans="18:24" x14ac:dyDescent="0.25">
      <c r="R95" s="29" t="str">
        <v>Bulgaria</v>
      </c>
      <c r="S95" s="29">
        <v>1.6293822526931763</v>
      </c>
      <c r="T95" s="29">
        <v>5.4626998901367188</v>
      </c>
      <c r="V95" s="29" t="str">
        <v>France</v>
      </c>
      <c r="W95" s="29">
        <v>1.3481022119522095</v>
      </c>
      <c r="X95" s="29">
        <v>6.6090002059936523</v>
      </c>
    </row>
    <row r="96" spans="18:24" x14ac:dyDescent="0.25">
      <c r="R96" s="29" t="str">
        <v>Russia</v>
      </c>
      <c r="S96" s="29">
        <v>1.6421922445297241</v>
      </c>
      <c r="T96" s="29">
        <v>5.7852997779846191</v>
      </c>
      <c r="V96" s="29" t="str">
        <v>Russia</v>
      </c>
      <c r="W96" s="29">
        <v>1.3511909246444702</v>
      </c>
      <c r="X96" s="29">
        <v>5.7852997779846191</v>
      </c>
    </row>
    <row r="97" spans="18:24" x14ac:dyDescent="0.25">
      <c r="R97" s="29" t="str">
        <v>Malaysia</v>
      </c>
      <c r="S97" s="29">
        <v>1.6458711624145508</v>
      </c>
      <c r="T97" s="29">
        <v>5.9752001762390137</v>
      </c>
      <c r="V97" s="29" t="str">
        <v>Japan</v>
      </c>
      <c r="W97" s="29">
        <v>1.3543787002563477</v>
      </c>
      <c r="X97" s="29">
        <v>6.0598001480102539</v>
      </c>
    </row>
    <row r="98" spans="18:24" x14ac:dyDescent="0.25">
      <c r="R98" s="29" t="str">
        <v>Greece</v>
      </c>
      <c r="S98" s="29">
        <v>1.6839154958724976</v>
      </c>
      <c r="T98" s="29">
        <v>5.9335999488830566</v>
      </c>
      <c r="V98" s="29" t="str">
        <v>Luxembourg</v>
      </c>
      <c r="W98" s="29">
        <v>1.3546255826950073</v>
      </c>
      <c r="X98" s="29">
        <v>7.1219000816345215</v>
      </c>
    </row>
    <row r="99" spans="18:24" x14ac:dyDescent="0.25">
      <c r="R99" s="29" t="str">
        <v>Romania</v>
      </c>
      <c r="S99" s="29">
        <v>1.6990300416946411</v>
      </c>
      <c r="T99" s="29">
        <v>6.4911999702453613</v>
      </c>
      <c r="V99" s="29" t="str">
        <v>Mauritius</v>
      </c>
      <c r="W99" s="29">
        <v>1.3577836751937866</v>
      </c>
      <c r="X99" s="29">
        <v>5.8164000511169434</v>
      </c>
    </row>
    <row r="100" spans="18:24" x14ac:dyDescent="0.25">
      <c r="R100" s="29" t="str">
        <v>Latvia</v>
      </c>
      <c r="S100" s="29">
        <v>1.7002942562103271</v>
      </c>
      <c r="T100" s="29">
        <v>6.2344999313354492</v>
      </c>
      <c r="V100" s="29" t="str">
        <v>Saudi Arabia</v>
      </c>
      <c r="W100" s="29">
        <v>1.3606481552124023</v>
      </c>
      <c r="X100" s="29">
        <v>6.5935001373291016</v>
      </c>
    </row>
    <row r="101" spans="18:24" x14ac:dyDescent="0.25">
      <c r="R101" s="29" t="str">
        <v>Turkiye</v>
      </c>
      <c r="S101" s="29">
        <v>1.7015780210494995</v>
      </c>
      <c r="T101" s="29">
        <v>4.9752998352050781</v>
      </c>
      <c r="V101" s="29" t="str">
        <v>Singapore</v>
      </c>
      <c r="W101" s="29">
        <v>1.3612234592437744</v>
      </c>
      <c r="X101" s="29">
        <v>6.5227999687194824</v>
      </c>
    </row>
    <row r="102" spans="18:24" x14ac:dyDescent="0.25">
      <c r="R102" s="29" t="str">
        <v>Panama</v>
      </c>
      <c r="S102" s="29">
        <v>1.7017160654067993</v>
      </c>
      <c r="T102" s="29">
        <v>6.3582000732421875</v>
      </c>
      <c r="V102" s="29" t="str">
        <v>Kuwait</v>
      </c>
      <c r="W102" s="29">
        <v>1.3636543750762939</v>
      </c>
      <c r="X102" s="29">
        <v>6.9513998031616211</v>
      </c>
    </row>
    <row r="103" spans="18:24" x14ac:dyDescent="0.25">
      <c r="R103" s="29" t="str">
        <v>Slovakia</v>
      </c>
      <c r="S103" s="29">
        <v>1.7055419683456421</v>
      </c>
      <c r="T103" s="29">
        <v>6.2571001052856445</v>
      </c>
      <c r="V103" s="29" t="str">
        <v>Portugal</v>
      </c>
      <c r="W103" s="29">
        <v>1.3677244186401367</v>
      </c>
      <c r="X103" s="29">
        <v>6.0296001434326172</v>
      </c>
    </row>
    <row r="104" spans="18:24" x14ac:dyDescent="0.25">
      <c r="R104" s="29" t="str">
        <v>Croatia</v>
      </c>
      <c r="S104" s="29">
        <v>1.7100956439971924</v>
      </c>
      <c r="T104" s="29">
        <v>5.9422998428344727</v>
      </c>
      <c r="V104" s="29" t="str">
        <v>Chile</v>
      </c>
      <c r="W104" s="29">
        <v>1.3689835071563721</v>
      </c>
      <c r="X104" s="29">
        <v>6.3603000640869141</v>
      </c>
    </row>
    <row r="105" spans="18:24" x14ac:dyDescent="0.25">
      <c r="R105" s="29" t="str">
        <v>Hungary</v>
      </c>
      <c r="S105" s="29">
        <v>1.7220711708068848</v>
      </c>
      <c r="T105" s="29">
        <v>6.0169000625610352</v>
      </c>
      <c r="V105" s="29" t="str">
        <v>South Africa</v>
      </c>
      <c r="W105" s="29">
        <v>1.3692620992660522</v>
      </c>
      <c r="X105" s="29">
        <v>5.4219999313354492</v>
      </c>
    </row>
    <row r="106" spans="18:24" x14ac:dyDescent="0.25">
      <c r="R106" s="29" t="str">
        <v>Portugal</v>
      </c>
      <c r="S106" s="29">
        <v>1.7275601625442505</v>
      </c>
      <c r="T106" s="29">
        <v>6.0296001434326172</v>
      </c>
      <c r="V106" s="29" t="str">
        <v>Costa Rica</v>
      </c>
      <c r="W106" s="29">
        <v>1.3730103969573975</v>
      </c>
      <c r="X106" s="29">
        <v>6.9553999900817871</v>
      </c>
    </row>
    <row r="107" spans="18:24" x14ac:dyDescent="0.25">
      <c r="R107" s="29" t="str">
        <v>Poland</v>
      </c>
      <c r="S107" s="29">
        <v>1.737703800201416</v>
      </c>
      <c r="T107" s="29">
        <v>6.441500186920166</v>
      </c>
      <c r="V107" s="29" t="str">
        <v>Argentina</v>
      </c>
      <c r="W107" s="29">
        <v>1.3813045024871826</v>
      </c>
      <c r="X107" s="29">
        <v>6.1880998611450195</v>
      </c>
    </row>
    <row r="108" spans="18:24" x14ac:dyDescent="0.25">
      <c r="R108" s="29" t="str">
        <v>Estonia</v>
      </c>
      <c r="S108" s="29">
        <v>1.7518472671508789</v>
      </c>
      <c r="T108" s="29">
        <v>6.447700023651123</v>
      </c>
      <c r="V108" s="29" t="str">
        <v>Germany</v>
      </c>
      <c r="W108" s="29">
        <v>1.3896832466125488</v>
      </c>
      <c r="X108" s="29">
        <v>6.7185001373291016</v>
      </c>
    </row>
    <row r="109" spans="18:24" x14ac:dyDescent="0.25">
      <c r="R109" s="29" t="str">
        <v>Lithuania</v>
      </c>
      <c r="S109" s="29">
        <v>1.7656822204589844</v>
      </c>
      <c r="T109" s="29">
        <v>6.817500114440918</v>
      </c>
      <c r="V109" s="29" t="str">
        <v>Ireland</v>
      </c>
      <c r="W109" s="29">
        <v>1.3898677825927734</v>
      </c>
      <c r="X109" s="29">
        <v>6.8379998207092285</v>
      </c>
    </row>
    <row r="110" spans="18:24" x14ac:dyDescent="0.25">
      <c r="R110" s="29" t="str">
        <v>Spain</v>
      </c>
      <c r="S110" s="29">
        <v>1.7661887407302856</v>
      </c>
      <c r="T110" s="29">
        <v>6.4208998680114746</v>
      </c>
      <c r="V110" s="29" t="str">
        <v>Serbia</v>
      </c>
      <c r="W110" s="29">
        <v>1.3914881944656372</v>
      </c>
      <c r="X110" s="29">
        <v>6.4107999801635742</v>
      </c>
    </row>
    <row r="111" spans="18:24" x14ac:dyDescent="0.25">
      <c r="R111" s="29" t="str">
        <v>Czechia</v>
      </c>
      <c r="S111" s="29">
        <v>1.783191442489624</v>
      </c>
      <c r="T111" s="29">
        <v>6.8218002319335938</v>
      </c>
      <c r="V111" s="29" t="str">
        <v>United States</v>
      </c>
      <c r="W111" s="29">
        <v>1.3917354345321655</v>
      </c>
      <c r="X111" s="29">
        <v>6.7248001098632813</v>
      </c>
    </row>
    <row r="112" spans="18:24" x14ac:dyDescent="0.25">
      <c r="R112" s="29" t="str">
        <v>Slovenia</v>
      </c>
      <c r="S112" s="29">
        <v>1.785599946975708</v>
      </c>
      <c r="T112" s="29">
        <v>6.7432999610900879</v>
      </c>
      <c r="V112" s="29" t="str">
        <v>Panama</v>
      </c>
      <c r="W112" s="29">
        <v>1.3919932842254639</v>
      </c>
      <c r="X112" s="29">
        <v>6.3582000732421875</v>
      </c>
    </row>
    <row r="113" spans="18:24" x14ac:dyDescent="0.25">
      <c r="R113" s="29" t="str">
        <v>Japan</v>
      </c>
      <c r="S113" s="29">
        <v>1.7857211828231812</v>
      </c>
      <c r="T113" s="29">
        <v>6.0598001480102539</v>
      </c>
      <c r="V113" s="29" t="str">
        <v>Uzbekistan</v>
      </c>
      <c r="W113" s="29">
        <v>1.3944715261459351</v>
      </c>
      <c r="X113" s="29">
        <v>6.195000171661377</v>
      </c>
    </row>
    <row r="114" spans="18:24" x14ac:dyDescent="0.25">
      <c r="R114" s="29" t="str">
        <v>Cyprus</v>
      </c>
      <c r="S114" s="29">
        <v>1.7937989234924316</v>
      </c>
      <c r="T114" s="29">
        <v>6.0680999755859375</v>
      </c>
      <c r="V114" s="29" t="str">
        <v>Paraguay</v>
      </c>
      <c r="W114" s="29">
        <v>1.4080097675323486</v>
      </c>
      <c r="X114" s="29">
        <v>5.9765000343322754</v>
      </c>
    </row>
    <row r="115" spans="18:24" x14ac:dyDescent="0.25">
      <c r="R115" s="29" t="str">
        <v>Italy</v>
      </c>
      <c r="S115" s="29">
        <v>1.8001515865325928</v>
      </c>
      <c r="T115" s="29">
        <v>6.3235001564025879</v>
      </c>
      <c r="V115" s="29" t="str">
        <v>Poland</v>
      </c>
      <c r="W115" s="29">
        <v>1.417370080947876</v>
      </c>
      <c r="X115" s="29">
        <v>6.441500186920166</v>
      </c>
    </row>
    <row r="116" spans="18:24" x14ac:dyDescent="0.25">
      <c r="R116" s="29" t="str">
        <v>Norway</v>
      </c>
      <c r="S116" s="29">
        <v>1.8029335737228394</v>
      </c>
      <c r="T116" s="29">
        <v>7.3411002159118652</v>
      </c>
      <c r="V116" s="29" t="str">
        <v>Switzerland</v>
      </c>
      <c r="W116" s="29">
        <v>1.4249322414398193</v>
      </c>
      <c r="X116" s="29">
        <v>7.0602002143859863</v>
      </c>
    </row>
    <row r="117" spans="18:24" x14ac:dyDescent="0.25">
      <c r="R117" s="29" t="str">
        <v>New Zealand</v>
      </c>
      <c r="S117" s="29">
        <v>1.8103488683700562</v>
      </c>
      <c r="T117" s="29">
        <v>7.0292000770568848</v>
      </c>
      <c r="V117" s="29" t="str">
        <v>Uruguay</v>
      </c>
      <c r="W117" s="29">
        <v>1.4314388036727905</v>
      </c>
      <c r="X117" s="29">
        <v>6.6114997863769531</v>
      </c>
    </row>
    <row r="118" spans="18:24" x14ac:dyDescent="0.25">
      <c r="R118" s="29" t="str">
        <v>South Korea</v>
      </c>
      <c r="S118" s="29">
        <v>1.8149861097335815</v>
      </c>
      <c r="T118" s="29">
        <v>6.0578999519348145</v>
      </c>
      <c r="V118" s="29" t="str">
        <v>Belgium</v>
      </c>
      <c r="W118" s="29">
        <v>1.4404232501983643</v>
      </c>
      <c r="X118" s="29">
        <v>6.8941998481750488</v>
      </c>
    </row>
    <row r="119" spans="18:24" x14ac:dyDescent="0.25">
      <c r="R119" s="29" t="str">
        <v>France</v>
      </c>
      <c r="S119" s="29">
        <v>1.818342924118042</v>
      </c>
      <c r="T119" s="29">
        <v>6.6090002059936523</v>
      </c>
      <c r="V119" s="29" t="str">
        <v>Malta</v>
      </c>
      <c r="W119" s="29">
        <v>1.4435973167419434</v>
      </c>
      <c r="X119" s="29">
        <v>6.3457999229431152</v>
      </c>
    </row>
    <row r="120" spans="18:24" x14ac:dyDescent="0.25">
      <c r="R120" s="29" t="str">
        <v>United Kingdom</v>
      </c>
      <c r="S120" s="29">
        <v>1.8222154378890991</v>
      </c>
      <c r="T120" s="29">
        <v>6.749000072479248</v>
      </c>
      <c r="V120" s="29" t="str">
        <v>Croatia</v>
      </c>
      <c r="W120" s="29">
        <v>1.4447548389434814</v>
      </c>
      <c r="X120" s="29">
        <v>5.9422998428344727</v>
      </c>
    </row>
    <row r="121" spans="18:24" x14ac:dyDescent="0.25">
      <c r="R121" s="29" t="str">
        <v>Malta</v>
      </c>
      <c r="S121" s="29">
        <v>1.8269320726394653</v>
      </c>
      <c r="T121" s="29">
        <v>6.3457999229431152</v>
      </c>
      <c r="V121" s="29" t="str">
        <v>Lithuania</v>
      </c>
      <c r="W121" s="29">
        <v>1.4535820484161377</v>
      </c>
      <c r="X121" s="29">
        <v>6.817500114440918</v>
      </c>
    </row>
    <row r="122" spans="18:24" x14ac:dyDescent="0.25">
      <c r="R122" s="29" t="str">
        <v>Canada</v>
      </c>
      <c r="S122" s="29">
        <v>1.8397207260131836</v>
      </c>
      <c r="T122" s="29">
        <v>6.8996000289916992</v>
      </c>
      <c r="V122" s="29" t="str">
        <v>Kazakhstan</v>
      </c>
      <c r="W122" s="29">
        <v>1.4566448926925659</v>
      </c>
      <c r="X122" s="29">
        <v>6.1875</v>
      </c>
    </row>
    <row r="123" spans="18:24" x14ac:dyDescent="0.25">
      <c r="R123" s="29" t="str">
        <v>Taiwan Province of China</v>
      </c>
      <c r="S123" s="29">
        <v>1.8415800333023071</v>
      </c>
      <c r="T123" s="29">
        <v>6.5034999847412109</v>
      </c>
      <c r="V123" s="29" t="str">
        <v>Canada</v>
      </c>
      <c r="W123" s="29">
        <v>1.4586304426193237</v>
      </c>
      <c r="X123" s="29">
        <v>6.8996000289916992</v>
      </c>
    </row>
    <row r="124" spans="18:24" x14ac:dyDescent="0.25">
      <c r="R124" s="29" t="str">
        <v>Saudi Arabia</v>
      </c>
      <c r="S124" s="29">
        <v>1.8423970937728882</v>
      </c>
      <c r="T124" s="29">
        <v>6.5935001373291016</v>
      </c>
      <c r="V124" s="29" t="str">
        <v>Australia</v>
      </c>
      <c r="W124" s="29">
        <v>1.4610912799835205</v>
      </c>
      <c r="X124" s="29">
        <v>7.0569000244140625</v>
      </c>
    </row>
    <row r="125" spans="18:24" x14ac:dyDescent="0.25">
      <c r="R125" s="29" t="str">
        <v>Finland</v>
      </c>
      <c r="S125" s="29">
        <v>1.8440535068511963</v>
      </c>
      <c r="T125" s="29">
        <v>7.7406997680664063</v>
      </c>
      <c r="V125" s="29" t="str">
        <v>Netherlands</v>
      </c>
      <c r="W125" s="29">
        <v>1.4620469808578491</v>
      </c>
      <c r="X125" s="29">
        <v>7.3193998336791992</v>
      </c>
    </row>
    <row r="126" spans="18:24" x14ac:dyDescent="0.25">
      <c r="R126" s="29" t="str">
        <v>Kuwait</v>
      </c>
      <c r="S126" s="29">
        <v>1.8450720310211182</v>
      </c>
      <c r="T126" s="29">
        <v>6.9513998031616211</v>
      </c>
      <c r="V126" s="29" t="str">
        <v>Bulgaria</v>
      </c>
      <c r="W126" s="29">
        <v>1.4687789678573608</v>
      </c>
      <c r="X126" s="29">
        <v>5.4626998901367188</v>
      </c>
    </row>
    <row r="127" spans="18:24" x14ac:dyDescent="0.25">
      <c r="R127" s="29" t="str">
        <v>Australia</v>
      </c>
      <c r="S127" s="29">
        <v>1.8542584180831909</v>
      </c>
      <c r="T127" s="29">
        <v>7.0569000244140625</v>
      </c>
      <c r="V127" s="29" t="str">
        <v>Spain</v>
      </c>
      <c r="W127" s="29">
        <v>1.4706276655197144</v>
      </c>
      <c r="X127" s="29">
        <v>6.4208998680114746</v>
      </c>
    </row>
    <row r="128" spans="18:24" x14ac:dyDescent="0.25">
      <c r="R128" s="29" t="str">
        <v>Belgium</v>
      </c>
      <c r="S128" s="29">
        <v>1.8680410385131836</v>
      </c>
      <c r="T128" s="29">
        <v>6.8941998481750488</v>
      </c>
      <c r="V128" s="29" t="str">
        <v>Kyrgyzstan</v>
      </c>
      <c r="W128" s="29">
        <v>1.4769147634506226</v>
      </c>
      <c r="X128" s="29">
        <v>5.7135000228881836</v>
      </c>
    </row>
    <row r="129" spans="18:24" x14ac:dyDescent="0.25">
      <c r="R129" s="29" t="str">
        <v>Germany</v>
      </c>
      <c r="S129" s="29">
        <v>1.8713324069976807</v>
      </c>
      <c r="T129" s="29">
        <v>6.7185001373291016</v>
      </c>
      <c r="V129" s="29" t="str">
        <v>Sweden</v>
      </c>
      <c r="W129" s="29">
        <v>1.5008261203765869</v>
      </c>
      <c r="X129" s="29">
        <v>7.3440999984741211</v>
      </c>
    </row>
    <row r="130" spans="18:24" x14ac:dyDescent="0.25">
      <c r="R130" s="29" t="str">
        <v>Sweden</v>
      </c>
      <c r="S130" s="29">
        <v>1.8781455755233765</v>
      </c>
      <c r="T130" s="29">
        <v>7.3440999984741211</v>
      </c>
      <c r="V130" s="29" t="str">
        <v>Slovenia</v>
      </c>
      <c r="W130" s="29">
        <v>1.5022037029266357</v>
      </c>
      <c r="X130" s="29">
        <v>6.7432999610900879</v>
      </c>
    </row>
    <row r="131" spans="18:24" x14ac:dyDescent="0.25">
      <c r="R131" s="29" t="str">
        <v>Iceland</v>
      </c>
      <c r="S131" s="29">
        <v>1.8807179927825928</v>
      </c>
      <c r="T131" s="29">
        <v>7.5251002311706543</v>
      </c>
      <c r="V131" s="29" t="str">
        <v>Latvia</v>
      </c>
      <c r="W131" s="29">
        <v>1.5084776878356934</v>
      </c>
      <c r="X131" s="29">
        <v>6.2344999313354492</v>
      </c>
    </row>
    <row r="132" spans="18:24" x14ac:dyDescent="0.25">
      <c r="R132" s="29" t="str">
        <v>Austria</v>
      </c>
      <c r="S132" s="29">
        <v>1.8852653503417969</v>
      </c>
      <c r="T132" s="29">
        <v>6.9046998023986816</v>
      </c>
      <c r="V132" s="29" t="str">
        <v>Mongolia</v>
      </c>
      <c r="W132" s="29">
        <v>1.5106477737426758</v>
      </c>
      <c r="X132" s="29">
        <v>5.696199893951416</v>
      </c>
    </row>
    <row r="133" spans="18:24" x14ac:dyDescent="0.25">
      <c r="R133" s="29" t="str">
        <v>Netherlands</v>
      </c>
      <c r="S133" s="29">
        <v>1.9006567001342773</v>
      </c>
      <c r="T133" s="29">
        <v>7.3193998336791992</v>
      </c>
      <c r="V133" s="29" t="str">
        <v>Czechia</v>
      </c>
      <c r="W133" s="29">
        <v>1.5110107660293579</v>
      </c>
      <c r="X133" s="29">
        <v>6.8218002319335938</v>
      </c>
    </row>
    <row r="134" spans="18:24" x14ac:dyDescent="0.25">
      <c r="R134" s="29" t="str">
        <v>Denmark</v>
      </c>
      <c r="S134" s="29">
        <v>1.9077976942062378</v>
      </c>
      <c r="T134" s="29">
        <v>7.5826997756958008</v>
      </c>
      <c r="V134" s="29" t="str">
        <v>Norway</v>
      </c>
      <c r="W134" s="29">
        <v>1.5127928256988525</v>
      </c>
      <c r="X134" s="29">
        <v>7.3411002159118652</v>
      </c>
    </row>
    <row r="135" spans="18:24" x14ac:dyDescent="0.25">
      <c r="R135" s="29" t="str">
        <v>Hong Kong</v>
      </c>
      <c r="S135" s="29">
        <v>1.9087110757827759</v>
      </c>
      <c r="T135" s="29">
        <v>5.3164000511169434</v>
      </c>
      <c r="V135" s="29" t="str">
        <v>Norway</v>
      </c>
      <c r="W135" s="29">
        <v>1.5165399312973022</v>
      </c>
      <c r="X135" s="29">
        <v>7.3017001152038574</v>
      </c>
    </row>
    <row r="136" spans="18:24" x14ac:dyDescent="0.25">
      <c r="R136" s="29" t="str">
        <v>United States</v>
      </c>
      <c r="S136" s="29">
        <v>1.9388630390167236</v>
      </c>
      <c r="T136" s="29">
        <v>6.7248001098632813</v>
      </c>
      <c r="V136" s="29" t="str">
        <v>Denmark</v>
      </c>
      <c r="W136" s="29">
        <v>1.5203613042831421</v>
      </c>
      <c r="X136" s="29">
        <v>7.5826997756958008</v>
      </c>
    </row>
    <row r="137" spans="18:24" x14ac:dyDescent="0.25">
      <c r="R137" s="29" t="str">
        <v>Norway</v>
      </c>
      <c r="S137" s="29">
        <v>1.9519555568695068</v>
      </c>
      <c r="T137" s="29">
        <v>7.3017001152038574</v>
      </c>
      <c r="V137" s="29" t="str">
        <v>New Zealand</v>
      </c>
      <c r="W137" s="29">
        <v>1.5269402265548706</v>
      </c>
      <c r="X137" s="29">
        <v>7.0292000770568848</v>
      </c>
    </row>
    <row r="138" spans="18:24" x14ac:dyDescent="0.25">
      <c r="R138" s="29" t="str">
        <v>Switzerland</v>
      </c>
      <c r="S138" s="29">
        <v>1.9702684879302979</v>
      </c>
      <c r="T138" s="29">
        <v>7.0602002143859863</v>
      </c>
      <c r="V138" s="29" t="str">
        <v>Estonia</v>
      </c>
      <c r="W138" s="29">
        <v>1.5270930528640747</v>
      </c>
      <c r="X138" s="29">
        <v>6.447700023651123</v>
      </c>
    </row>
    <row r="139" spans="18:24" x14ac:dyDescent="0.25">
      <c r="R139" s="29" t="str">
        <v>United Arab Emirates</v>
      </c>
      <c r="S139" s="29">
        <v>1.9831197261810303</v>
      </c>
      <c r="T139" s="29">
        <v>6.7330999374389648</v>
      </c>
      <c r="V139" s="29" t="str">
        <v>Hungary</v>
      </c>
      <c r="W139" s="29">
        <v>1.5282142162322998</v>
      </c>
      <c r="X139" s="29">
        <v>6.0169000625610352</v>
      </c>
    </row>
    <row r="140" spans="18:24" x14ac:dyDescent="0.25">
      <c r="R140" s="29" t="str">
        <v>Singapore</v>
      </c>
      <c r="S140" s="29">
        <v>2.1180984973907471</v>
      </c>
      <c r="T140" s="29">
        <v>6.5227999687194824</v>
      </c>
      <c r="V140" s="29" t="str">
        <v>Slovakia</v>
      </c>
      <c r="W140" s="29">
        <v>1.5402960777282715</v>
      </c>
      <c r="X140" s="29">
        <v>6.2571001052856445</v>
      </c>
    </row>
    <row r="141" spans="18:24" x14ac:dyDescent="0.25">
      <c r="R141" s="29" t="str">
        <v>Ireland</v>
      </c>
      <c r="S141" s="29">
        <v>2.1288285255432129</v>
      </c>
      <c r="T141" s="29">
        <v>6.8379998207092285</v>
      </c>
      <c r="V141" s="29" t="str">
        <v>Finland</v>
      </c>
      <c r="W141" s="29">
        <v>1.5723668336868286</v>
      </c>
      <c r="X141" s="29">
        <v>7.7406997680664063</v>
      </c>
    </row>
    <row r="142" spans="18:24" x14ac:dyDescent="0.25">
      <c r="R142" s="29" t="str">
        <v>Luxembourg</v>
      </c>
      <c r="S142" s="29">
        <v>2.1405189037322998</v>
      </c>
      <c r="T142" s="29">
        <v>7.1219000816345215</v>
      </c>
      <c r="V142" s="29" t="str">
        <v>Iceland</v>
      </c>
      <c r="W142" s="29">
        <v>1.616525411605835</v>
      </c>
      <c r="X142" s="29">
        <v>7.5251002311706543</v>
      </c>
    </row>
    <row r="143" spans="18:24" x14ac:dyDescent="0.25">
      <c r="R143" s="29" t="str">
        <v>Bahrain</v>
      </c>
      <c r="S143" s="29">
        <v>0</v>
      </c>
      <c r="T143" s="29">
        <v>5.9590997695922852</v>
      </c>
      <c r="V143" s="29" t="str">
        <v>Bahrain</v>
      </c>
      <c r="W143" s="29">
        <v>0</v>
      </c>
      <c r="X143" s="29">
        <v>5.9590997695922852</v>
      </c>
    </row>
    <row r="144" spans="18:24" x14ac:dyDescent="0.25">
      <c r="R144" s="29" t="str">
        <v>Tajikistan</v>
      </c>
      <c r="S144" s="29">
        <v>0</v>
      </c>
      <c r="T144" s="29">
        <v>5.2807002067565918</v>
      </c>
      <c r="V144" s="29" t="str">
        <v>Tajikistan</v>
      </c>
      <c r="W144" s="29">
        <v>0</v>
      </c>
      <c r="X144" s="29">
        <v>5.2807002067565918</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14F2F-0A29-43C1-9359-3AD8769754D4}">
  <sheetPr>
    <tabColor rgb="FF17365D"/>
  </sheetPr>
  <dimension ref="A1:P13"/>
  <sheetViews>
    <sheetView showGridLines="0" tabSelected="1" topLeftCell="A76" zoomScale="73" zoomScaleNormal="73" workbookViewId="0">
      <selection activeCell="G28" sqref="G28"/>
    </sheetView>
  </sheetViews>
  <sheetFormatPr defaultRowHeight="13.2" x14ac:dyDescent="0.25"/>
  <cols>
    <col min="1" max="1" width="75.33203125" bestFit="1" customWidth="1"/>
    <col min="2" max="2" width="76.5546875" bestFit="1" customWidth="1"/>
    <col min="4" max="4" width="19.44140625" bestFit="1" customWidth="1"/>
    <col min="5" max="5" width="87.88671875" bestFit="1" customWidth="1"/>
    <col min="7" max="7" width="19.109375" bestFit="1" customWidth="1"/>
    <col min="10" max="10" width="20.21875" bestFit="1" customWidth="1"/>
    <col min="13" max="13" width="21.44140625" bestFit="1" customWidth="1"/>
  </cols>
  <sheetData>
    <row r="1" spans="1:16" ht="34.049999999999997" customHeight="1" x14ac:dyDescent="0.25">
      <c r="A1" s="3" t="s">
        <v>184</v>
      </c>
      <c r="B1" s="3" t="s">
        <v>185</v>
      </c>
      <c r="C1" s="3"/>
      <c r="D1" s="3"/>
      <c r="E1" s="3"/>
      <c r="F1" s="3"/>
      <c r="G1" s="3"/>
      <c r="H1" s="3"/>
      <c r="I1" s="3"/>
      <c r="J1" s="3"/>
      <c r="K1" s="3"/>
      <c r="L1" s="3"/>
      <c r="M1" s="3"/>
      <c r="N1" s="3"/>
      <c r="O1" s="3"/>
      <c r="P1" s="3"/>
    </row>
    <row r="2" spans="1:16" x14ac:dyDescent="0.25">
      <c r="A2" s="6" t="s">
        <v>186</v>
      </c>
      <c r="B2" s="6"/>
      <c r="C2" s="6"/>
      <c r="D2" s="6"/>
      <c r="E2" s="6"/>
      <c r="F2" s="6"/>
      <c r="G2" s="6"/>
      <c r="H2" s="6"/>
      <c r="I2" s="6"/>
      <c r="J2" s="6"/>
      <c r="K2" s="6"/>
      <c r="L2" s="6"/>
      <c r="M2" s="6"/>
      <c r="N2" s="6"/>
      <c r="O2" s="6"/>
      <c r="P2" s="6"/>
    </row>
    <row r="4" spans="1:16" ht="13.8" x14ac:dyDescent="0.25">
      <c r="A4" s="49" t="s">
        <v>187</v>
      </c>
      <c r="B4" s="48"/>
      <c r="C4" s="48"/>
      <c r="D4" s="51" t="s">
        <v>188</v>
      </c>
      <c r="E4" s="52"/>
      <c r="F4" s="16"/>
      <c r="G4" s="53" t="s">
        <v>189</v>
      </c>
      <c r="H4" s="54"/>
      <c r="I4" s="55"/>
      <c r="J4" s="56" t="s">
        <v>190</v>
      </c>
      <c r="K4" s="57"/>
      <c r="L4" s="58"/>
      <c r="M4" s="56" t="s">
        <v>191</v>
      </c>
      <c r="N4" s="57"/>
      <c r="O4" s="58"/>
    </row>
    <row r="5" spans="1:16" x14ac:dyDescent="0.25">
      <c r="A5" s="9"/>
      <c r="B5" s="48"/>
      <c r="C5" s="48"/>
      <c r="D5" s="14"/>
      <c r="E5" s="15"/>
      <c r="F5" s="15"/>
      <c r="G5" s="20"/>
      <c r="H5" s="21"/>
      <c r="I5" s="21"/>
      <c r="J5" s="9"/>
      <c r="K5" s="7"/>
      <c r="L5" s="7"/>
      <c r="M5" s="9"/>
      <c r="N5" s="7"/>
      <c r="O5" s="11"/>
    </row>
    <row r="6" spans="1:16" ht="28.2" x14ac:dyDescent="0.25">
      <c r="A6" s="13">
        <f>KPIs!B3</f>
        <v>142</v>
      </c>
      <c r="B6" s="48"/>
      <c r="C6" s="48"/>
      <c r="D6" s="19">
        <f>KPIs!B4</f>
        <v>7.7406997680664063</v>
      </c>
      <c r="E6" s="15"/>
      <c r="F6" s="15"/>
      <c r="G6" s="24">
        <f>KPIs!B5</f>
        <v>1.7209999561309814</v>
      </c>
      <c r="H6" s="21"/>
      <c r="I6" s="21"/>
      <c r="J6" s="25">
        <f>KPIs!B6</f>
        <v>5.5275720216177557</v>
      </c>
      <c r="K6" s="7"/>
      <c r="L6" s="7"/>
      <c r="M6" s="25">
        <f>KPIs!B7</f>
        <v>2.1405189037322998</v>
      </c>
      <c r="N6" s="7"/>
      <c r="O6" s="11"/>
    </row>
    <row r="7" spans="1:16" x14ac:dyDescent="0.25">
      <c r="A7" s="9"/>
      <c r="B7" s="48"/>
      <c r="C7" s="48"/>
      <c r="D7" s="14"/>
      <c r="E7" s="15"/>
      <c r="F7" s="15"/>
      <c r="G7" s="20"/>
      <c r="H7" s="21"/>
      <c r="I7" s="21"/>
      <c r="J7" s="9"/>
      <c r="K7" s="7"/>
      <c r="L7" s="7"/>
      <c r="M7" s="9"/>
      <c r="N7" s="7"/>
      <c r="O7" s="11"/>
    </row>
    <row r="8" spans="1:16" x14ac:dyDescent="0.25">
      <c r="A8" s="9"/>
      <c r="B8" s="48"/>
      <c r="C8" s="48"/>
      <c r="D8" s="17"/>
      <c r="E8" s="18"/>
      <c r="F8" s="18"/>
      <c r="G8" s="22"/>
      <c r="H8" s="23"/>
      <c r="I8" s="23"/>
      <c r="J8" s="10"/>
      <c r="K8" s="8"/>
      <c r="L8" s="8"/>
      <c r="M8" s="10"/>
      <c r="N8" s="8"/>
      <c r="O8" s="12"/>
    </row>
    <row r="9" spans="1:16" ht="13.8" x14ac:dyDescent="0.25">
      <c r="A9" s="49" t="s">
        <v>192</v>
      </c>
      <c r="B9" s="48"/>
      <c r="C9" s="48"/>
    </row>
    <row r="10" spans="1:16" x14ac:dyDescent="0.25">
      <c r="A10" s="9"/>
      <c r="B10" s="48"/>
      <c r="C10" s="48"/>
      <c r="D10" s="26" t="s">
        <v>193</v>
      </c>
      <c r="E10" s="26" t="s">
        <v>194</v>
      </c>
      <c r="F10" s="26"/>
      <c r="G10" s="26"/>
      <c r="H10" s="26"/>
      <c r="I10" s="26"/>
      <c r="J10" s="26"/>
      <c r="K10" s="26"/>
      <c r="L10" s="26"/>
      <c r="M10" s="26"/>
      <c r="N10" s="26"/>
      <c r="O10" s="26"/>
    </row>
    <row r="11" spans="1:16" ht="28.2" x14ac:dyDescent="0.25">
      <c r="A11" s="25">
        <f>KPIs!B8</f>
        <v>0.52078030246453932</v>
      </c>
      <c r="B11" s="48"/>
      <c r="C11" s="48"/>
      <c r="D11" s="27"/>
      <c r="E11" s="27"/>
      <c r="F11" s="27"/>
      <c r="G11" s="27"/>
      <c r="H11" s="27"/>
      <c r="I11" s="27"/>
      <c r="J11" s="27"/>
      <c r="K11" s="27"/>
      <c r="L11" s="27"/>
      <c r="M11" s="27"/>
      <c r="N11" s="27"/>
      <c r="O11" s="27"/>
    </row>
    <row r="12" spans="1:16" x14ac:dyDescent="0.25">
      <c r="A12" s="9"/>
      <c r="B12" s="48"/>
      <c r="C12" s="48"/>
      <c r="D12" s="27"/>
      <c r="E12" s="27"/>
      <c r="F12" s="27"/>
      <c r="G12" s="27"/>
      <c r="H12" s="27"/>
      <c r="I12" s="27"/>
      <c r="J12" s="27"/>
      <c r="K12" s="27"/>
      <c r="L12" s="27"/>
      <c r="M12" s="27"/>
      <c r="N12" s="27"/>
      <c r="O12" s="27"/>
    </row>
    <row r="13" spans="1:16" x14ac:dyDescent="0.25">
      <c r="A13" s="10"/>
      <c r="B13" s="48"/>
      <c r="C13" s="48"/>
      <c r="D13" s="27"/>
      <c r="E13" s="27"/>
      <c r="F13" s="27"/>
      <c r="G13" s="27"/>
      <c r="H13" s="27"/>
      <c r="I13" s="27"/>
      <c r="J13" s="27"/>
      <c r="K13" s="27"/>
      <c r="L13" s="27"/>
      <c r="M13" s="27"/>
      <c r="N13" s="27"/>
      <c r="O13" s="27"/>
    </row>
  </sheetData>
  <mergeCells count="4">
    <mergeCell ref="D4:E4"/>
    <mergeCell ref="G4:I4"/>
    <mergeCell ref="J4:L4"/>
    <mergeCell ref="M4:O4"/>
  </mergeCells>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Dataset</vt:lpstr>
      <vt:lpstr>Pivot Tables</vt:lpstr>
      <vt:lpstr>KPIs</vt:lpstr>
      <vt:lpstr>Charts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User1</dc:creator>
  <cp:lastModifiedBy>Aqdas Khan Nadeem Khan</cp:lastModifiedBy>
  <dcterms:created xsi:type="dcterms:W3CDTF">2023-03-13T05:06:24Z</dcterms:created>
  <dcterms:modified xsi:type="dcterms:W3CDTF">2026-05-24T11:13:23Z</dcterms:modified>
</cp:coreProperties>
</file>